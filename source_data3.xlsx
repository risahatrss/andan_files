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evae./Downloads/"/>
    </mc:Choice>
  </mc:AlternateContent>
  <xr:revisionPtr revIDLastSave="0" documentId="8_{6CD91385-4222-D549-AF0F-AC8D9051C60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lawnox" sheetId="12" r:id="rId1"/>
    <sheet name="distributor_zones" sheetId="2" r:id="rId2"/>
    <sheet name="locations" sheetId="7" r:id="rId3"/>
    <sheet name="orders" sheetId="1" r:id="rId4"/>
    <sheet name="distributors" sheetId="11" r:id="rId5"/>
    <sheet name="demand" sheetId="9" r:id="rId6"/>
    <sheet name="private_rates" sheetId="5" r:id="rId7"/>
    <sheet name="published_rat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12" l="1"/>
  <c r="J44" i="12"/>
  <c r="I44" i="12"/>
  <c r="H44" i="12"/>
  <c r="G44" i="12"/>
  <c r="F44" i="12"/>
  <c r="E44" i="12"/>
  <c r="D44" i="12"/>
  <c r="K43" i="12"/>
  <c r="J43" i="12"/>
  <c r="I43" i="12"/>
  <c r="H43" i="12"/>
  <c r="G43" i="12"/>
  <c r="F43" i="12"/>
  <c r="E43" i="12"/>
  <c r="D43" i="12"/>
  <c r="K42" i="12"/>
  <c r="J42" i="12"/>
  <c r="I42" i="12"/>
  <c r="H42" i="12"/>
  <c r="G42" i="12"/>
  <c r="F42" i="12"/>
  <c r="E42" i="12"/>
  <c r="D42" i="12"/>
  <c r="K41" i="12"/>
  <c r="J41" i="12"/>
  <c r="I41" i="12"/>
  <c r="H41" i="12"/>
  <c r="G41" i="12"/>
  <c r="F41" i="12"/>
  <c r="E41" i="12"/>
  <c r="D41" i="12"/>
  <c r="K40" i="12"/>
  <c r="J40" i="12"/>
  <c r="I40" i="12"/>
  <c r="H40" i="12"/>
  <c r="G40" i="12"/>
  <c r="F40" i="12"/>
  <c r="E40" i="12"/>
  <c r="D40" i="12"/>
  <c r="K39" i="12"/>
  <c r="J39" i="12"/>
  <c r="I39" i="12"/>
  <c r="H39" i="12"/>
  <c r="G39" i="12"/>
  <c r="F39" i="12"/>
  <c r="E39" i="12"/>
  <c r="D39" i="12"/>
  <c r="K38" i="12"/>
  <c r="J38" i="12"/>
  <c r="I38" i="12"/>
  <c r="H38" i="12"/>
  <c r="G38" i="12"/>
  <c r="F38" i="12"/>
  <c r="E38" i="12"/>
  <c r="D38" i="12"/>
  <c r="K37" i="12"/>
  <c r="J37" i="12"/>
  <c r="I37" i="12"/>
  <c r="H37" i="12"/>
  <c r="G37" i="12"/>
  <c r="F37" i="12"/>
  <c r="E37" i="12"/>
  <c r="D37" i="12"/>
  <c r="K36" i="12"/>
  <c r="J36" i="12"/>
  <c r="I36" i="12"/>
  <c r="H36" i="12"/>
  <c r="G36" i="12"/>
  <c r="F36" i="12"/>
  <c r="E36" i="12"/>
  <c r="D36" i="12"/>
  <c r="K35" i="12"/>
  <c r="J35" i="12"/>
  <c r="I35" i="12"/>
  <c r="H35" i="12"/>
  <c r="G35" i="12"/>
  <c r="F35" i="12"/>
  <c r="E35" i="12"/>
  <c r="D35" i="12"/>
  <c r="K34" i="12"/>
  <c r="J34" i="12"/>
  <c r="I34" i="12"/>
  <c r="H34" i="12"/>
  <c r="G34" i="12"/>
  <c r="F34" i="12"/>
  <c r="E34" i="12"/>
  <c r="D34" i="12"/>
  <c r="K33" i="12"/>
  <c r="J33" i="12"/>
  <c r="I33" i="12"/>
  <c r="H33" i="12"/>
  <c r="G33" i="12"/>
  <c r="F33" i="12"/>
  <c r="E33" i="12"/>
  <c r="D33" i="12"/>
  <c r="K32" i="12"/>
  <c r="J32" i="12"/>
  <c r="I32" i="12"/>
  <c r="H32" i="12"/>
  <c r="G32" i="12"/>
  <c r="F32" i="12"/>
  <c r="E32" i="12"/>
  <c r="D32" i="12"/>
  <c r="K31" i="12"/>
  <c r="J31" i="12"/>
  <c r="I31" i="12"/>
  <c r="H31" i="12"/>
  <c r="G31" i="12"/>
  <c r="F31" i="12"/>
  <c r="E31" i="12"/>
  <c r="D31" i="12"/>
  <c r="K30" i="12"/>
  <c r="J30" i="12"/>
  <c r="I30" i="12"/>
  <c r="H30" i="12"/>
  <c r="G30" i="12"/>
  <c r="F30" i="12"/>
  <c r="E30" i="12"/>
  <c r="D30" i="12"/>
  <c r="K29" i="12"/>
  <c r="J29" i="12"/>
  <c r="I29" i="12"/>
  <c r="H29" i="12"/>
  <c r="G29" i="12"/>
  <c r="F29" i="12"/>
  <c r="E29" i="12"/>
  <c r="D29" i="12"/>
  <c r="K28" i="12"/>
  <c r="J28" i="12"/>
  <c r="I28" i="12"/>
  <c r="H28" i="12"/>
  <c r="G28" i="12"/>
  <c r="F28" i="12"/>
  <c r="E28" i="12"/>
  <c r="D28" i="12"/>
  <c r="K27" i="12"/>
  <c r="J27" i="12"/>
  <c r="I27" i="12"/>
  <c r="H27" i="12"/>
  <c r="G27" i="12"/>
  <c r="F27" i="12"/>
  <c r="E27" i="12"/>
  <c r="D27" i="12"/>
  <c r="K26" i="12"/>
  <c r="J26" i="12"/>
  <c r="I26" i="12"/>
  <c r="H26" i="12"/>
  <c r="G26" i="12"/>
  <c r="F26" i="12"/>
  <c r="E26" i="12"/>
  <c r="D26" i="12"/>
  <c r="K25" i="12"/>
  <c r="J25" i="12"/>
  <c r="I25" i="12"/>
  <c r="H25" i="12"/>
  <c r="G25" i="12"/>
  <c r="F25" i="12"/>
  <c r="E25" i="12"/>
  <c r="D25" i="12"/>
  <c r="K24" i="12"/>
  <c r="J24" i="12"/>
  <c r="I24" i="12"/>
  <c r="H24" i="12"/>
  <c r="G24" i="12"/>
  <c r="F24" i="12"/>
  <c r="E24" i="12"/>
  <c r="D24" i="12"/>
  <c r="K23" i="12"/>
  <c r="J23" i="12"/>
  <c r="I23" i="12"/>
  <c r="H23" i="12"/>
  <c r="G23" i="12"/>
  <c r="F23" i="12"/>
  <c r="E23" i="12"/>
  <c r="D23" i="12"/>
  <c r="K22" i="12"/>
  <c r="J22" i="12"/>
  <c r="I22" i="12"/>
  <c r="H22" i="12"/>
  <c r="G22" i="12"/>
  <c r="F22" i="12"/>
  <c r="E22" i="12"/>
  <c r="D22" i="12"/>
  <c r="K21" i="12"/>
  <c r="J21" i="12"/>
  <c r="I21" i="12"/>
  <c r="H21" i="12"/>
  <c r="G21" i="12"/>
  <c r="F21" i="12"/>
  <c r="E21" i="12"/>
  <c r="D21" i="12"/>
  <c r="K20" i="12"/>
  <c r="J20" i="12"/>
  <c r="I20" i="12"/>
  <c r="H20" i="12"/>
  <c r="G20" i="12"/>
  <c r="F20" i="12"/>
  <c r="E20" i="12"/>
  <c r="D20" i="12"/>
  <c r="K19" i="12"/>
  <c r="J19" i="12"/>
  <c r="I19" i="12"/>
  <c r="H19" i="12"/>
  <c r="G19" i="12"/>
  <c r="F19" i="12"/>
  <c r="E19" i="12"/>
  <c r="D19" i="12"/>
  <c r="K18" i="12"/>
  <c r="J18" i="12"/>
  <c r="I18" i="12"/>
  <c r="H18" i="12"/>
  <c r="G18" i="12"/>
  <c r="F18" i="12"/>
  <c r="E18" i="12"/>
  <c r="D18" i="12"/>
  <c r="K17" i="12"/>
  <c r="J17" i="12"/>
  <c r="I17" i="12"/>
  <c r="H17" i="12"/>
  <c r="G17" i="12"/>
  <c r="F17" i="12"/>
  <c r="E17" i="12"/>
  <c r="D17" i="12"/>
  <c r="K16" i="12"/>
  <c r="J16" i="12"/>
  <c r="I16" i="12"/>
  <c r="H16" i="12"/>
  <c r="G16" i="12"/>
  <c r="F16" i="12"/>
  <c r="E16" i="12"/>
  <c r="D16" i="12"/>
  <c r="K15" i="12"/>
  <c r="J15" i="12"/>
  <c r="I15" i="12"/>
  <c r="H15" i="12"/>
  <c r="G15" i="12"/>
  <c r="F15" i="12"/>
  <c r="E15" i="12"/>
  <c r="D15" i="12"/>
  <c r="K14" i="12"/>
  <c r="J14" i="12"/>
  <c r="I14" i="12"/>
  <c r="H14" i="12"/>
  <c r="G14" i="12"/>
  <c r="F14" i="12"/>
  <c r="E14" i="12"/>
  <c r="D14" i="12"/>
  <c r="K13" i="12"/>
  <c r="J13" i="12"/>
  <c r="I13" i="12"/>
  <c r="H13" i="12"/>
  <c r="G13" i="12"/>
  <c r="F13" i="12"/>
  <c r="E13" i="12"/>
  <c r="D13" i="12"/>
  <c r="K12" i="12"/>
  <c r="J12" i="12"/>
  <c r="I12" i="12"/>
  <c r="H12" i="12"/>
  <c r="G12" i="12"/>
  <c r="F12" i="12"/>
  <c r="E12" i="12"/>
  <c r="D12" i="12"/>
  <c r="K11" i="12"/>
  <c r="J11" i="12"/>
  <c r="I11" i="12"/>
  <c r="H11" i="12"/>
  <c r="G11" i="12"/>
  <c r="F11" i="12"/>
  <c r="E11" i="12"/>
  <c r="D11" i="12"/>
  <c r="K10" i="12"/>
  <c r="J10" i="12"/>
  <c r="I10" i="12"/>
  <c r="H10" i="12"/>
  <c r="G10" i="12"/>
  <c r="F10" i="12"/>
  <c r="E10" i="12"/>
  <c r="D10" i="12"/>
  <c r="K9" i="12"/>
  <c r="J9" i="12"/>
  <c r="I9" i="12"/>
  <c r="H9" i="12"/>
  <c r="G9" i="12"/>
  <c r="F9" i="12"/>
  <c r="E9" i="12"/>
  <c r="D9" i="12"/>
  <c r="K8" i="12"/>
  <c r="J8" i="12"/>
  <c r="I8" i="12"/>
  <c r="H8" i="12"/>
  <c r="G8" i="12"/>
  <c r="F8" i="12"/>
  <c r="E8" i="12"/>
  <c r="D8" i="12"/>
  <c r="K7" i="12"/>
  <c r="J7" i="12"/>
  <c r="I7" i="12"/>
  <c r="H7" i="12"/>
  <c r="G7" i="12"/>
  <c r="F7" i="12"/>
  <c r="E7" i="12"/>
  <c r="D7" i="12"/>
  <c r="K6" i="12"/>
  <c r="J6" i="12"/>
  <c r="I6" i="12"/>
  <c r="H6" i="12"/>
  <c r="G6" i="12"/>
  <c r="F6" i="12"/>
  <c r="E6" i="12"/>
  <c r="D6" i="12"/>
  <c r="K5" i="12"/>
  <c r="J5" i="12"/>
  <c r="I5" i="12"/>
  <c r="H5" i="12"/>
  <c r="G5" i="12"/>
  <c r="F5" i="12"/>
  <c r="E5" i="12"/>
  <c r="D5" i="12"/>
  <c r="K4" i="12"/>
  <c r="J4" i="12"/>
  <c r="I4" i="12"/>
  <c r="H4" i="12"/>
  <c r="G4" i="12"/>
  <c r="F4" i="12"/>
  <c r="E4" i="12"/>
  <c r="D4" i="12"/>
  <c r="K3" i="12"/>
  <c r="J3" i="12"/>
  <c r="I3" i="12"/>
  <c r="H3" i="12"/>
  <c r="G3" i="12"/>
  <c r="F3" i="12"/>
  <c r="E3" i="12"/>
  <c r="D3" i="12"/>
  <c r="K2" i="12"/>
  <c r="J2" i="12"/>
  <c r="I2" i="12"/>
  <c r="H2" i="12"/>
  <c r="G2" i="12"/>
  <c r="F2" i="12"/>
  <c r="E2" i="12"/>
  <c r="D2" i="1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" i="2"/>
  <c r="D3" i="2"/>
  <c r="D4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91178AD0-BCAF-A848-818B-E1E7F9525234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  <comment ref="H1" authorId="0" shapeId="0" xr:uid="{B76A8014-69ED-0F41-A6CE-04AD8C30BDFC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Суммарный вес отгрузок за неделю</t>
        </r>
      </text>
    </comment>
    <comment ref="I1" authorId="0" shapeId="0" xr:uid="{ED5225E6-F11E-F442-947A-DBF8DA712F95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Количество отгрузок за неделю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  <comment ref="H1" authorId="0" shapeId="0" xr:uid="{3F0B8794-5ADF-3148-9027-B08E066D07A5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Суммарный вес отгрузок за неделю</t>
        </r>
      </text>
    </comment>
    <comment ref="I1" authorId="0" shapeId="0" xr:uid="{61B34412-5DA1-BF47-80AF-25A23E1DE6F9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Количество отгрузок за неделю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Суммарный вес отгрузок за неделю</t>
        </r>
      </text>
    </comment>
    <comment ref="C1" authorId="0" shapeId="0" xr:uid="{00000000-0006-0000-0300-000002000000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Количество отгрузок за неделю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Тариф из нового контракта с USPE, за фунт</t>
        </r>
      </text>
    </comment>
    <comment ref="C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<sst xmlns="http://schemas.openxmlformats.org/spreadsheetml/2006/main" count="498" uniqueCount="94">
  <si>
    <t>distributor_zip</t>
  </si>
  <si>
    <t>pounds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</si>
  <si>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</si>
  <si>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</si>
  <si>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</si>
  <si>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</si>
  <si>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</si>
  <si>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</si>
  <si>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</si>
  <si>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</si>
  <si>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</si>
  <si>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</si>
  <si>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</si>
  <si>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</si>
  <si>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</si>
  <si>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</si>
  <si>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</si>
  <si>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</si>
  <si>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</si>
  <si>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</si>
  <si>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</si>
  <si>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</si>
  <si>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</si>
  <si>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</si>
  <si>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</si>
  <si>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</si>
  <si>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</si>
  <si>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</si>
  <si>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</si>
  <si>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</si>
  <si>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</si>
  <si>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</si>
  <si>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</si>
  <si>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</si>
  <si>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</si>
  <si>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</si>
  <si>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</si>
  <si>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</si>
  <si>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</si>
  <si>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</si>
  <si>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</si>
  <si>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</si>
  <si>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</si>
  <si>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</si>
  <si>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</si>
  <si>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</si>
  <si>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</si>
  <si>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</si>
  <si>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</si>
  <si>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</si>
  <si>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</si>
  <si>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</si>
  <si>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</si>
  <si>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</si>
  <si>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</si>
  <si>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zone</t>
  </si>
  <si>
    <t>Blawnox</t>
  </si>
  <si>
    <t>City of Industry</t>
  </si>
  <si>
    <t xml:space="preserve">Coos Bay </t>
  </si>
  <si>
    <t>Laughlin</t>
  </si>
  <si>
    <t>Preston</t>
  </si>
  <si>
    <t>Tuba City</t>
  </si>
  <si>
    <t>Vacaville</t>
  </si>
  <si>
    <t>Walla Walla</t>
  </si>
  <si>
    <t>distributor_city</t>
  </si>
  <si>
    <t>distributor_state</t>
  </si>
  <si>
    <t>state</t>
  </si>
  <si>
    <t>rate_per_pound</t>
  </si>
  <si>
    <t>min_charge</t>
  </si>
  <si>
    <t xml:space="preserve"> CA</t>
  </si>
  <si>
    <t>Coos Bay</t>
  </si>
  <si>
    <t xml:space="preserve"> OR</t>
  </si>
  <si>
    <t xml:space="preserve"> NV</t>
  </si>
  <si>
    <t xml:space="preserve"> ID</t>
  </si>
  <si>
    <t xml:space="preserve"> AZ</t>
  </si>
  <si>
    <t xml:space="preserve"> WA</t>
  </si>
  <si>
    <t>ftl_per_mile</t>
  </si>
  <si>
    <t>handling</t>
  </si>
  <si>
    <t>miles_from_plant</t>
  </si>
  <si>
    <t>weekly_volume</t>
  </si>
  <si>
    <t>weekly_shipments</t>
  </si>
  <si>
    <t>zip</t>
  </si>
  <si>
    <t>source</t>
  </si>
  <si>
    <t>type</t>
  </si>
  <si>
    <t>fixed_cost</t>
  </si>
  <si>
    <t>location</t>
  </si>
  <si>
    <t>PA</t>
  </si>
  <si>
    <t>plant</t>
  </si>
  <si>
    <t>warehouse</t>
  </si>
  <si>
    <t>private_cost_permile</t>
  </si>
  <si>
    <t>private_cost_mincharge</t>
  </si>
  <si>
    <t>publ_cost_permile</t>
  </si>
  <si>
    <t>publ_cost_mincharge</t>
  </si>
  <si>
    <t>distributor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</si>
</sst>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902C1-D65C-4623-9134-85D08061123A}">
  <we:reference id="wa104142491" version="3.1.1.0" store="ru-RU" storeType="OMEX"/>
  <we:alternateReferences>
    <we:reference id="wa104142491" version="3.1.1.0" store="wa104142491" storeType="OMEX"/>
  </we:alternateReferences>
  <we:properties/>
  <we:bindings>
    <we:binding id="2DTableRange" type="matrix" appref="{7CE694F7-E665-432D-A8E2-3C5950DEE6D3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B7BD-E779-9144-98F5-5A67900BE74E}">
  <dimension ref="A1:K44"/>
  <sheetViews>
    <sheetView tabSelected="1" workbookViewId="0">
      <selection activeCell="F21" sqref="F21"/>
    </sheetView>
  </sheetViews>
  <sheetFormatPr baseColWidth="10" defaultRowHeight="15" x14ac:dyDescent="0.2"/>
  <cols>
    <col min="4" max="11" width="17.6640625" customWidth="1"/>
  </cols>
  <sheetData>
    <row r="1" spans="1:11" x14ac:dyDescent="0.2">
      <c r="A1" s="3" t="s">
        <v>82</v>
      </c>
      <c r="B1" s="3" t="s">
        <v>0</v>
      </c>
      <c r="C1" s="3" t="s">
        <v>55</v>
      </c>
      <c r="D1" s="3" t="s">
        <v>89</v>
      </c>
      <c r="E1" s="3" t="s">
        <v>90</v>
      </c>
      <c r="F1" s="3" t="s">
        <v>91</v>
      </c>
      <c r="G1" s="3" t="s">
        <v>92</v>
      </c>
      <c r="H1" s="1" t="s">
        <v>79</v>
      </c>
      <c r="I1" s="1" t="s">
        <v>80</v>
      </c>
      <c r="J1" s="3" t="s">
        <v>64</v>
      </c>
      <c r="K1" s="3" t="s">
        <v>93</v>
      </c>
    </row>
    <row r="2" spans="1:11" x14ac:dyDescent="0.2">
      <c r="A2" s="2" t="s">
        <v>56</v>
      </c>
      <c r="B2" s="2">
        <v>59019</v>
      </c>
      <c r="C2" s="2">
        <v>7</v>
      </c>
      <c r="D2">
        <f>VLOOKUP($C2, private_rates!$A$2:$C$9, 2, FALSE)</f>
        <v>0.57999999999999996</v>
      </c>
      <c r="E2">
        <f>VLOOKUP($C2, private_rates!$A$2:$C$9, 3, FALSE)</f>
        <v>6.3</v>
      </c>
      <c r="F2">
        <f>VLOOKUP($C2, published_rates!$A$2:$C$9, 2, FALSE)</f>
        <v>0.54</v>
      </c>
      <c r="G2">
        <f>VLOOKUP($C2, published_rates!$A$2:$C$9, 3, FALSE)</f>
        <v>6.1</v>
      </c>
      <c r="H2">
        <f>VLOOKUP($B2, demand!$A$2:$C$44, 2, FALSE)</f>
        <v>779.83999999999992</v>
      </c>
      <c r="I2">
        <f>VLOOKUP($B2, demand!$A$2:$C$44, 3, FALSE)</f>
        <v>30</v>
      </c>
      <c r="J2" t="str">
        <f>VLOOKUP($B2, distributors!$A$2:$C$44, 2, FALSE)</f>
        <v>Columbus</v>
      </c>
      <c r="K2" t="str">
        <f>VLOOKUP($B2, distributors!$A$2:$C$44, 3, FALSE)</f>
        <v>MT</v>
      </c>
    </row>
    <row r="3" spans="1:11" x14ac:dyDescent="0.2">
      <c r="A3" s="2" t="s">
        <v>56</v>
      </c>
      <c r="B3" s="2">
        <v>59634</v>
      </c>
      <c r="C3" s="2">
        <v>7</v>
      </c>
      <c r="D3">
        <f>VLOOKUP($C3, private_rates!$A$2:$C$9, 2, FALSE)</f>
        <v>0.57999999999999996</v>
      </c>
      <c r="E3">
        <f>VLOOKUP($C3, private_rates!$A$2:$C$9, 3, FALSE)</f>
        <v>6.3</v>
      </c>
      <c r="F3">
        <f>VLOOKUP($C3, published_rates!$A$2:$C$9, 2, FALSE)</f>
        <v>0.54</v>
      </c>
      <c r="G3">
        <f>VLOOKUP($C3, published_rates!$A$2:$C$9, 3, FALSE)</f>
        <v>6.1</v>
      </c>
      <c r="H3">
        <f>VLOOKUP($B3, demand!$A$2:$C$44, 2, FALSE)</f>
        <v>730.32999999999993</v>
      </c>
      <c r="I3">
        <f>VLOOKUP($B3, demand!$A$2:$C$44, 3, FALSE)</f>
        <v>29</v>
      </c>
      <c r="J3" t="str">
        <f>VLOOKUP($B3, distributors!$A$2:$C$44, 2, FALSE)</f>
        <v>Clancy</v>
      </c>
      <c r="K3" t="str">
        <f>VLOOKUP($B3, distributors!$A$2:$C$44, 3, FALSE)</f>
        <v>MT</v>
      </c>
    </row>
    <row r="4" spans="1:11" x14ac:dyDescent="0.2">
      <c r="A4" s="2" t="s">
        <v>56</v>
      </c>
      <c r="B4" s="2">
        <v>59808</v>
      </c>
      <c r="C4" s="2">
        <v>7</v>
      </c>
      <c r="D4">
        <f>VLOOKUP($C4, private_rates!$A$2:$C$9, 2, FALSE)</f>
        <v>0.57999999999999996</v>
      </c>
      <c r="E4">
        <f>VLOOKUP($C4, private_rates!$A$2:$C$9, 3, FALSE)</f>
        <v>6.3</v>
      </c>
      <c r="F4">
        <f>VLOOKUP($C4, published_rates!$A$2:$C$9, 2, FALSE)</f>
        <v>0.54</v>
      </c>
      <c r="G4">
        <f>VLOOKUP($C4, published_rates!$A$2:$C$9, 3, FALSE)</f>
        <v>6.1</v>
      </c>
      <c r="H4">
        <f>VLOOKUP($B4, demand!$A$2:$C$44, 2, FALSE)</f>
        <v>568.34</v>
      </c>
      <c r="I4">
        <f>VLOOKUP($B4, demand!$A$2:$C$44, 3, FALSE)</f>
        <v>23</v>
      </c>
      <c r="J4" t="str">
        <f>VLOOKUP($B4, distributors!$A$2:$C$44, 2, FALSE)</f>
        <v>Missoula</v>
      </c>
      <c r="K4" t="str">
        <f>VLOOKUP($B4, distributors!$A$2:$C$44, 3, FALSE)</f>
        <v>MT</v>
      </c>
    </row>
    <row r="5" spans="1:11" x14ac:dyDescent="0.2">
      <c r="A5" s="2" t="s">
        <v>56</v>
      </c>
      <c r="B5" s="2">
        <v>81321</v>
      </c>
      <c r="C5" s="2">
        <v>7</v>
      </c>
      <c r="D5">
        <f>VLOOKUP($C5, private_rates!$A$2:$C$9, 2, FALSE)</f>
        <v>0.57999999999999996</v>
      </c>
      <c r="E5">
        <f>VLOOKUP($C5, private_rates!$A$2:$C$9, 3, FALSE)</f>
        <v>6.3</v>
      </c>
      <c r="F5">
        <f>VLOOKUP($C5, published_rates!$A$2:$C$9, 2, FALSE)</f>
        <v>0.54</v>
      </c>
      <c r="G5">
        <f>VLOOKUP($C5, published_rates!$A$2:$C$9, 3, FALSE)</f>
        <v>6.1</v>
      </c>
      <c r="H5">
        <f>VLOOKUP($B5, demand!$A$2:$C$44, 2, FALSE)</f>
        <v>759</v>
      </c>
      <c r="I5">
        <f>VLOOKUP($B5, demand!$A$2:$C$44, 3, FALSE)</f>
        <v>32</v>
      </c>
      <c r="J5" t="str">
        <f>VLOOKUP($B5, distributors!$A$2:$C$44, 2, FALSE)</f>
        <v>Cortez</v>
      </c>
      <c r="K5" t="str">
        <f>VLOOKUP($B5, distributors!$A$2:$C$44, 3, FALSE)</f>
        <v>CO</v>
      </c>
    </row>
    <row r="6" spans="1:11" x14ac:dyDescent="0.2">
      <c r="A6" s="2" t="s">
        <v>56</v>
      </c>
      <c r="B6" s="2">
        <v>81416</v>
      </c>
      <c r="C6" s="2">
        <v>7</v>
      </c>
      <c r="D6">
        <f>VLOOKUP($C6, private_rates!$A$2:$C$9, 2, FALSE)</f>
        <v>0.57999999999999996</v>
      </c>
      <c r="E6">
        <f>VLOOKUP($C6, private_rates!$A$2:$C$9, 3, FALSE)</f>
        <v>6.3</v>
      </c>
      <c r="F6">
        <f>VLOOKUP($C6, published_rates!$A$2:$C$9, 2, FALSE)</f>
        <v>0.54</v>
      </c>
      <c r="G6">
        <f>VLOOKUP($C6, published_rates!$A$2:$C$9, 3, FALSE)</f>
        <v>6.1</v>
      </c>
      <c r="H6">
        <f>VLOOKUP($B6, demand!$A$2:$C$44, 2, FALSE)</f>
        <v>976.23</v>
      </c>
      <c r="I6">
        <f>VLOOKUP($B6, demand!$A$2:$C$44, 3, FALSE)</f>
        <v>37</v>
      </c>
      <c r="J6" t="str">
        <f>VLOOKUP($B6, distributors!$A$2:$C$44, 2, FALSE)</f>
        <v>Delta</v>
      </c>
      <c r="K6" t="str">
        <f>VLOOKUP($B6, distributors!$A$2:$C$44, 3, FALSE)</f>
        <v>CO</v>
      </c>
    </row>
    <row r="7" spans="1:11" x14ac:dyDescent="0.2">
      <c r="A7" s="2" t="s">
        <v>56</v>
      </c>
      <c r="B7" s="2">
        <v>81504</v>
      </c>
      <c r="C7" s="2">
        <v>7</v>
      </c>
      <c r="D7">
        <f>VLOOKUP($C7, private_rates!$A$2:$C$9, 2, FALSE)</f>
        <v>0.57999999999999996</v>
      </c>
      <c r="E7">
        <f>VLOOKUP($C7, private_rates!$A$2:$C$9, 3, FALSE)</f>
        <v>6.3</v>
      </c>
      <c r="F7">
        <f>VLOOKUP($C7, published_rates!$A$2:$C$9, 2, FALSE)</f>
        <v>0.54</v>
      </c>
      <c r="G7">
        <f>VLOOKUP($C7, published_rates!$A$2:$C$9, 3, FALSE)</f>
        <v>6.1</v>
      </c>
      <c r="H7">
        <f>VLOOKUP($B7, demand!$A$2:$C$44, 2, FALSE)</f>
        <v>860.19000000000028</v>
      </c>
      <c r="I7">
        <f>VLOOKUP($B7, demand!$A$2:$C$44, 3, FALSE)</f>
        <v>32</v>
      </c>
      <c r="J7" t="str">
        <f>VLOOKUP($B7, distributors!$A$2:$C$44, 2, FALSE)</f>
        <v>Grand Junction</v>
      </c>
      <c r="K7" t="str">
        <f>VLOOKUP($B7, distributors!$A$2:$C$44, 3, FALSE)</f>
        <v>CO</v>
      </c>
    </row>
    <row r="8" spans="1:11" x14ac:dyDescent="0.2">
      <c r="A8" s="2" t="s">
        <v>56</v>
      </c>
      <c r="B8" s="2">
        <v>81650</v>
      </c>
      <c r="C8" s="2">
        <v>7</v>
      </c>
      <c r="D8">
        <f>VLOOKUP($C8, private_rates!$A$2:$C$9, 2, FALSE)</f>
        <v>0.57999999999999996</v>
      </c>
      <c r="E8">
        <f>VLOOKUP($C8, private_rates!$A$2:$C$9, 3, FALSE)</f>
        <v>6.3</v>
      </c>
      <c r="F8">
        <f>VLOOKUP($C8, published_rates!$A$2:$C$9, 2, FALSE)</f>
        <v>0.54</v>
      </c>
      <c r="G8">
        <f>VLOOKUP($C8, published_rates!$A$2:$C$9, 3, FALSE)</f>
        <v>6.1</v>
      </c>
      <c r="H8">
        <f>VLOOKUP($B8, demand!$A$2:$C$44, 2, FALSE)</f>
        <v>585.81000000000006</v>
      </c>
      <c r="I8">
        <f>VLOOKUP($B8, demand!$A$2:$C$44, 3, FALSE)</f>
        <v>22</v>
      </c>
      <c r="J8" t="str">
        <f>VLOOKUP($B8, distributors!$A$2:$C$44, 2, FALSE)</f>
        <v>Rifle</v>
      </c>
      <c r="K8" t="str">
        <f>VLOOKUP($B8, distributors!$A$2:$C$44, 3, FALSE)</f>
        <v>CO</v>
      </c>
    </row>
    <row r="9" spans="1:11" x14ac:dyDescent="0.2">
      <c r="A9" s="2" t="s">
        <v>56</v>
      </c>
      <c r="B9" s="2">
        <v>83014</v>
      </c>
      <c r="C9" s="2">
        <v>7</v>
      </c>
      <c r="D9">
        <f>VLOOKUP($C9, private_rates!$A$2:$C$9, 2, FALSE)</f>
        <v>0.57999999999999996</v>
      </c>
      <c r="E9">
        <f>VLOOKUP($C9, private_rates!$A$2:$C$9, 3, FALSE)</f>
        <v>6.3</v>
      </c>
      <c r="F9">
        <f>VLOOKUP($C9, published_rates!$A$2:$C$9, 2, FALSE)</f>
        <v>0.54</v>
      </c>
      <c r="G9">
        <f>VLOOKUP($C9, published_rates!$A$2:$C$9, 3, FALSE)</f>
        <v>6.1</v>
      </c>
      <c r="H9">
        <f>VLOOKUP($B9, demand!$A$2:$C$44, 2, FALSE)</f>
        <v>412.08000000000004</v>
      </c>
      <c r="I9">
        <f>VLOOKUP($B9, demand!$A$2:$C$44, 3, FALSE)</f>
        <v>15</v>
      </c>
      <c r="J9" t="str">
        <f>VLOOKUP($B9, distributors!$A$2:$C$44, 2, FALSE)</f>
        <v>Wilson</v>
      </c>
      <c r="K9" t="str">
        <f>VLOOKUP($B9, distributors!$A$2:$C$44, 3, FALSE)</f>
        <v>WY</v>
      </c>
    </row>
    <row r="10" spans="1:11" x14ac:dyDescent="0.2">
      <c r="A10" s="2" t="s">
        <v>56</v>
      </c>
      <c r="B10" s="2">
        <v>83338</v>
      </c>
      <c r="C10" s="2">
        <v>7</v>
      </c>
      <c r="D10">
        <f>VLOOKUP($C10, private_rates!$A$2:$C$9, 2, FALSE)</f>
        <v>0.57999999999999996</v>
      </c>
      <c r="E10">
        <f>VLOOKUP($C10, private_rates!$A$2:$C$9, 3, FALSE)</f>
        <v>6.3</v>
      </c>
      <c r="F10">
        <f>VLOOKUP($C10, published_rates!$A$2:$C$9, 2, FALSE)</f>
        <v>0.54</v>
      </c>
      <c r="G10">
        <f>VLOOKUP($C10, published_rates!$A$2:$C$9, 3, FALSE)</f>
        <v>6.1</v>
      </c>
      <c r="H10">
        <f>VLOOKUP($B10, demand!$A$2:$C$44, 2, FALSE)</f>
        <v>546.12999999999988</v>
      </c>
      <c r="I10">
        <f>VLOOKUP($B10, demand!$A$2:$C$44, 3, FALSE)</f>
        <v>21</v>
      </c>
      <c r="J10" t="str">
        <f>VLOOKUP($B10, distributors!$A$2:$C$44, 2, FALSE)</f>
        <v>Jerome</v>
      </c>
      <c r="K10" t="str">
        <f>VLOOKUP($B10, distributors!$A$2:$C$44, 3, FALSE)</f>
        <v>ID</v>
      </c>
    </row>
    <row r="11" spans="1:11" x14ac:dyDescent="0.2">
      <c r="A11" s="2" t="s">
        <v>56</v>
      </c>
      <c r="B11" s="2">
        <v>83544</v>
      </c>
      <c r="C11" s="2">
        <v>8</v>
      </c>
      <c r="D11">
        <f>VLOOKUP($C11, private_rates!$A$2:$C$9, 2, FALSE)</f>
        <v>0.7</v>
      </c>
      <c r="E11">
        <f>VLOOKUP($C11, private_rates!$A$2:$C$9, 3, FALSE)</f>
        <v>7.4</v>
      </c>
      <c r="F11">
        <f>VLOOKUP($C11, published_rates!$A$2:$C$9, 2, FALSE)</f>
        <v>0.59</v>
      </c>
      <c r="G11">
        <f>VLOOKUP($C11, published_rates!$A$2:$C$9, 3, FALSE)</f>
        <v>6.45</v>
      </c>
      <c r="H11">
        <f>VLOOKUP($B11, demand!$A$2:$C$44, 2, FALSE)</f>
        <v>599.47</v>
      </c>
      <c r="I11">
        <f>VLOOKUP($B11, demand!$A$2:$C$44, 3, FALSE)</f>
        <v>22</v>
      </c>
      <c r="J11" t="str">
        <f>VLOOKUP($B11, distributors!$A$2:$C$44, 2, FALSE)</f>
        <v>Orofino</v>
      </c>
      <c r="K11" t="str">
        <f>VLOOKUP($B11, distributors!$A$2:$C$44, 3, FALSE)</f>
        <v>ID</v>
      </c>
    </row>
    <row r="12" spans="1:11" x14ac:dyDescent="0.2">
      <c r="A12" s="2" t="s">
        <v>56</v>
      </c>
      <c r="B12" s="2">
        <v>83638</v>
      </c>
      <c r="C12" s="2">
        <v>8</v>
      </c>
      <c r="D12">
        <f>VLOOKUP($C12, private_rates!$A$2:$C$9, 2, FALSE)</f>
        <v>0.7</v>
      </c>
      <c r="E12">
        <f>VLOOKUP($C12, private_rates!$A$2:$C$9, 3, FALSE)</f>
        <v>7.4</v>
      </c>
      <c r="F12">
        <f>VLOOKUP($C12, published_rates!$A$2:$C$9, 2, FALSE)</f>
        <v>0.59</v>
      </c>
      <c r="G12">
        <f>VLOOKUP($C12, published_rates!$A$2:$C$9, 3, FALSE)</f>
        <v>6.45</v>
      </c>
      <c r="H12">
        <f>VLOOKUP($B12, demand!$A$2:$C$44, 2, FALSE)</f>
        <v>853.4100000000002</v>
      </c>
      <c r="I12">
        <f>VLOOKUP($B12, demand!$A$2:$C$44, 3, FALSE)</f>
        <v>30</v>
      </c>
      <c r="J12" t="str">
        <f>VLOOKUP($B12, distributors!$A$2:$C$44, 2, FALSE)</f>
        <v>McCall</v>
      </c>
      <c r="K12" t="str">
        <f>VLOOKUP($B12, distributors!$A$2:$C$44, 3, FALSE)</f>
        <v>ID</v>
      </c>
    </row>
    <row r="13" spans="1:11" x14ac:dyDescent="0.2">
      <c r="A13" s="2" t="s">
        <v>56</v>
      </c>
      <c r="B13" s="2">
        <v>83706</v>
      </c>
      <c r="C13" s="2">
        <v>8</v>
      </c>
      <c r="D13">
        <f>VLOOKUP($C13, private_rates!$A$2:$C$9, 2, FALSE)</f>
        <v>0.7</v>
      </c>
      <c r="E13">
        <f>VLOOKUP($C13, private_rates!$A$2:$C$9, 3, FALSE)</f>
        <v>7.4</v>
      </c>
      <c r="F13">
        <f>VLOOKUP($C13, published_rates!$A$2:$C$9, 2, FALSE)</f>
        <v>0.59</v>
      </c>
      <c r="G13">
        <f>VLOOKUP($C13, published_rates!$A$2:$C$9, 3, FALSE)</f>
        <v>6.45</v>
      </c>
      <c r="H13">
        <f>VLOOKUP($B13, demand!$A$2:$C$44, 2, FALSE)</f>
        <v>518.5200000000001</v>
      </c>
      <c r="I13">
        <f>VLOOKUP($B13, demand!$A$2:$C$44, 3, FALSE)</f>
        <v>18</v>
      </c>
      <c r="J13" t="str">
        <f>VLOOKUP($B13, distributors!$A$2:$C$44, 2, FALSE)</f>
        <v>Boise</v>
      </c>
      <c r="K13" t="str">
        <f>VLOOKUP($B13, distributors!$A$2:$C$44, 3, FALSE)</f>
        <v>ID</v>
      </c>
    </row>
    <row r="14" spans="1:11" x14ac:dyDescent="0.2">
      <c r="A14" s="2" t="s">
        <v>56</v>
      </c>
      <c r="B14" s="2">
        <v>84003</v>
      </c>
      <c r="C14" s="2">
        <v>7</v>
      </c>
      <c r="D14">
        <f>VLOOKUP($C14, private_rates!$A$2:$C$9, 2, FALSE)</f>
        <v>0.57999999999999996</v>
      </c>
      <c r="E14">
        <f>VLOOKUP($C14, private_rates!$A$2:$C$9, 3, FALSE)</f>
        <v>6.3</v>
      </c>
      <c r="F14">
        <f>VLOOKUP($C14, published_rates!$A$2:$C$9, 2, FALSE)</f>
        <v>0.54</v>
      </c>
      <c r="G14">
        <f>VLOOKUP($C14, published_rates!$A$2:$C$9, 3, FALSE)</f>
        <v>6.1</v>
      </c>
      <c r="H14">
        <f>VLOOKUP($B14, demand!$A$2:$C$44, 2, FALSE)</f>
        <v>706.61</v>
      </c>
      <c r="I14">
        <f>VLOOKUP($B14, demand!$A$2:$C$44, 3, FALSE)</f>
        <v>25</v>
      </c>
      <c r="J14" t="str">
        <f>VLOOKUP($B14, distributors!$A$2:$C$44, 2, FALSE)</f>
        <v>American Fork</v>
      </c>
      <c r="K14" t="str">
        <f>VLOOKUP($B14, distributors!$A$2:$C$44, 3, FALSE)</f>
        <v>UT</v>
      </c>
    </row>
    <row r="15" spans="1:11" x14ac:dyDescent="0.2">
      <c r="A15" s="2" t="s">
        <v>56</v>
      </c>
      <c r="B15" s="2">
        <v>84414</v>
      </c>
      <c r="C15" s="2">
        <v>7</v>
      </c>
      <c r="D15">
        <f>VLOOKUP($C15, private_rates!$A$2:$C$9, 2, FALSE)</f>
        <v>0.57999999999999996</v>
      </c>
      <c r="E15">
        <f>VLOOKUP($C15, private_rates!$A$2:$C$9, 3, FALSE)</f>
        <v>6.3</v>
      </c>
      <c r="F15">
        <f>VLOOKUP($C15, published_rates!$A$2:$C$9, 2, FALSE)</f>
        <v>0.54</v>
      </c>
      <c r="G15">
        <f>VLOOKUP($C15, published_rates!$A$2:$C$9, 3, FALSE)</f>
        <v>6.1</v>
      </c>
      <c r="H15">
        <f>VLOOKUP($B15, demand!$A$2:$C$44, 2, FALSE)</f>
        <v>613.67000000000007</v>
      </c>
      <c r="I15">
        <f>VLOOKUP($B15, demand!$A$2:$C$44, 3, FALSE)</f>
        <v>22</v>
      </c>
      <c r="J15" t="str">
        <f>VLOOKUP($B15, distributors!$A$2:$C$44, 2, FALSE)</f>
        <v>Ogden</v>
      </c>
      <c r="K15" t="str">
        <f>VLOOKUP($B15, distributors!$A$2:$C$44, 3, FALSE)</f>
        <v>UT</v>
      </c>
    </row>
    <row r="16" spans="1:11" x14ac:dyDescent="0.2">
      <c r="A16" s="2" t="s">
        <v>56</v>
      </c>
      <c r="B16" s="2">
        <v>84532</v>
      </c>
      <c r="C16" s="2">
        <v>7</v>
      </c>
      <c r="D16">
        <f>VLOOKUP($C16, private_rates!$A$2:$C$9, 2, FALSE)</f>
        <v>0.57999999999999996</v>
      </c>
      <c r="E16">
        <f>VLOOKUP($C16, private_rates!$A$2:$C$9, 3, FALSE)</f>
        <v>6.3</v>
      </c>
      <c r="F16">
        <f>VLOOKUP($C16, published_rates!$A$2:$C$9, 2, FALSE)</f>
        <v>0.54</v>
      </c>
      <c r="G16">
        <f>VLOOKUP($C16, published_rates!$A$2:$C$9, 3, FALSE)</f>
        <v>6.1</v>
      </c>
      <c r="H16">
        <f>VLOOKUP($B16, demand!$A$2:$C$44, 2, FALSE)</f>
        <v>339.5</v>
      </c>
      <c r="I16">
        <f>VLOOKUP($B16, demand!$A$2:$C$44, 3, FALSE)</f>
        <v>11</v>
      </c>
      <c r="J16" t="str">
        <f>VLOOKUP($B16, distributors!$A$2:$C$44, 2, FALSE)</f>
        <v>Moab</v>
      </c>
      <c r="K16" t="str">
        <f>VLOOKUP($B16, distributors!$A$2:$C$44, 3, FALSE)</f>
        <v>UT</v>
      </c>
    </row>
    <row r="17" spans="1:11" x14ac:dyDescent="0.2">
      <c r="A17" s="2" t="s">
        <v>56</v>
      </c>
      <c r="B17" s="2">
        <v>84780</v>
      </c>
      <c r="C17" s="2">
        <v>7</v>
      </c>
      <c r="D17">
        <f>VLOOKUP($C17, private_rates!$A$2:$C$9, 2, FALSE)</f>
        <v>0.57999999999999996</v>
      </c>
      <c r="E17">
        <f>VLOOKUP($C17, private_rates!$A$2:$C$9, 3, FALSE)</f>
        <v>6.3</v>
      </c>
      <c r="F17">
        <f>VLOOKUP($C17, published_rates!$A$2:$C$9, 2, FALSE)</f>
        <v>0.54</v>
      </c>
      <c r="G17">
        <f>VLOOKUP($C17, published_rates!$A$2:$C$9, 3, FALSE)</f>
        <v>6.1</v>
      </c>
      <c r="H17">
        <f>VLOOKUP($B17, demand!$A$2:$C$44, 2, FALSE)</f>
        <v>648.88</v>
      </c>
      <c r="I17">
        <f>VLOOKUP($B17, demand!$A$2:$C$44, 3, FALSE)</f>
        <v>22</v>
      </c>
      <c r="J17" t="str">
        <f>VLOOKUP($B17, distributors!$A$2:$C$44, 2, FALSE)</f>
        <v>Washington</v>
      </c>
      <c r="K17" t="str">
        <f>VLOOKUP($B17, distributors!$A$2:$C$44, 3, FALSE)</f>
        <v>UT</v>
      </c>
    </row>
    <row r="18" spans="1:11" x14ac:dyDescent="0.2">
      <c r="A18" s="2" t="s">
        <v>56</v>
      </c>
      <c r="B18" s="2">
        <v>85012</v>
      </c>
      <c r="C18" s="2">
        <v>8</v>
      </c>
      <c r="D18">
        <f>VLOOKUP($C18, private_rates!$A$2:$C$9, 2, FALSE)</f>
        <v>0.7</v>
      </c>
      <c r="E18">
        <f>VLOOKUP($C18, private_rates!$A$2:$C$9, 3, FALSE)</f>
        <v>7.4</v>
      </c>
      <c r="F18">
        <f>VLOOKUP($C18, published_rates!$A$2:$C$9, 2, FALSE)</f>
        <v>0.59</v>
      </c>
      <c r="G18">
        <f>VLOOKUP($C18, published_rates!$A$2:$C$9, 3, FALSE)</f>
        <v>6.45</v>
      </c>
      <c r="H18">
        <f>VLOOKUP($B18, demand!$A$2:$C$44, 2, FALSE)</f>
        <v>685.8499999999998</v>
      </c>
      <c r="I18">
        <f>VLOOKUP($B18, demand!$A$2:$C$44, 3, FALSE)</f>
        <v>25</v>
      </c>
      <c r="J18" t="str">
        <f>VLOOKUP($B18, distributors!$A$2:$C$44, 2, FALSE)</f>
        <v>Phoeniz</v>
      </c>
      <c r="K18" t="str">
        <f>VLOOKUP($B18, distributors!$A$2:$C$44, 3, FALSE)</f>
        <v>AZ</v>
      </c>
    </row>
    <row r="19" spans="1:11" x14ac:dyDescent="0.2">
      <c r="A19" s="2" t="s">
        <v>56</v>
      </c>
      <c r="B19" s="2">
        <v>86004</v>
      </c>
      <c r="C19" s="2">
        <v>7</v>
      </c>
      <c r="D19">
        <f>VLOOKUP($C19, private_rates!$A$2:$C$9, 2, FALSE)</f>
        <v>0.57999999999999996</v>
      </c>
      <c r="E19">
        <f>VLOOKUP($C19, private_rates!$A$2:$C$9, 3, FALSE)</f>
        <v>6.3</v>
      </c>
      <c r="F19">
        <f>VLOOKUP($C19, published_rates!$A$2:$C$9, 2, FALSE)</f>
        <v>0.54</v>
      </c>
      <c r="G19">
        <f>VLOOKUP($C19, published_rates!$A$2:$C$9, 3, FALSE)</f>
        <v>6.1</v>
      </c>
      <c r="H19">
        <f>VLOOKUP($B19, demand!$A$2:$C$44, 2, FALSE)</f>
        <v>654.43000000000006</v>
      </c>
      <c r="I19">
        <f>VLOOKUP($B19, demand!$A$2:$C$44, 3, FALSE)</f>
        <v>24</v>
      </c>
      <c r="J19" t="str">
        <f>VLOOKUP($B19, distributors!$A$2:$C$44, 2, FALSE)</f>
        <v>Flagstaff</v>
      </c>
      <c r="K19" t="str">
        <f>VLOOKUP($B19, distributors!$A$2:$C$44, 3, FALSE)</f>
        <v>AZ</v>
      </c>
    </row>
    <row r="20" spans="1:11" x14ac:dyDescent="0.2">
      <c r="A20" s="2" t="s">
        <v>56</v>
      </c>
      <c r="B20" s="2">
        <v>86042</v>
      </c>
      <c r="C20" s="2">
        <v>7</v>
      </c>
      <c r="D20">
        <f>VLOOKUP($C20, private_rates!$A$2:$C$9, 2, FALSE)</f>
        <v>0.57999999999999996</v>
      </c>
      <c r="E20">
        <f>VLOOKUP($C20, private_rates!$A$2:$C$9, 3, FALSE)</f>
        <v>6.3</v>
      </c>
      <c r="F20">
        <f>VLOOKUP($C20, published_rates!$A$2:$C$9, 2, FALSE)</f>
        <v>0.54</v>
      </c>
      <c r="G20">
        <f>VLOOKUP($C20, published_rates!$A$2:$C$9, 3, FALSE)</f>
        <v>6.1</v>
      </c>
      <c r="H20">
        <f>VLOOKUP($B20, demand!$A$2:$C$44, 2, FALSE)</f>
        <v>522.40000000000009</v>
      </c>
      <c r="I20">
        <f>VLOOKUP($B20, demand!$A$2:$C$44, 3, FALSE)</f>
        <v>18</v>
      </c>
      <c r="J20" t="str">
        <f>VLOOKUP($B20, distributors!$A$2:$C$44, 2, FALSE)</f>
        <v>Polacca</v>
      </c>
      <c r="K20" t="str">
        <f>VLOOKUP($B20, distributors!$A$2:$C$44, 3, FALSE)</f>
        <v>AZ</v>
      </c>
    </row>
    <row r="21" spans="1:11" x14ac:dyDescent="0.2">
      <c r="A21" s="2" t="s">
        <v>56</v>
      </c>
      <c r="B21" s="2">
        <v>86314</v>
      </c>
      <c r="C21" s="2">
        <v>7</v>
      </c>
      <c r="D21">
        <f>VLOOKUP($C21, private_rates!$A$2:$C$9, 2, FALSE)</f>
        <v>0.57999999999999996</v>
      </c>
      <c r="E21">
        <f>VLOOKUP($C21, private_rates!$A$2:$C$9, 3, FALSE)</f>
        <v>6.3</v>
      </c>
      <c r="F21">
        <f>VLOOKUP($C21, published_rates!$A$2:$C$9, 2, FALSE)</f>
        <v>0.54</v>
      </c>
      <c r="G21">
        <f>VLOOKUP($C21, published_rates!$A$2:$C$9, 3, FALSE)</f>
        <v>6.1</v>
      </c>
      <c r="H21">
        <f>VLOOKUP($B21, demand!$A$2:$C$44, 2, FALSE)</f>
        <v>788.67000000000019</v>
      </c>
      <c r="I21">
        <f>VLOOKUP($B21, demand!$A$2:$C$44, 3, FALSE)</f>
        <v>27</v>
      </c>
      <c r="J21" t="str">
        <f>VLOOKUP($B21, distributors!$A$2:$C$44, 2, FALSE)</f>
        <v>Prescott Valley</v>
      </c>
      <c r="K21" t="str">
        <f>VLOOKUP($B21, distributors!$A$2:$C$44, 3, FALSE)</f>
        <v>AZ</v>
      </c>
    </row>
    <row r="22" spans="1:11" x14ac:dyDescent="0.2">
      <c r="A22" s="2" t="s">
        <v>56</v>
      </c>
      <c r="B22" s="2">
        <v>86426</v>
      </c>
      <c r="C22" s="2">
        <v>8</v>
      </c>
      <c r="D22">
        <f>VLOOKUP($C22, private_rates!$A$2:$C$9, 2, FALSE)</f>
        <v>0.7</v>
      </c>
      <c r="E22">
        <f>VLOOKUP($C22, private_rates!$A$2:$C$9, 3, FALSE)</f>
        <v>7.4</v>
      </c>
      <c r="F22">
        <f>VLOOKUP($C22, published_rates!$A$2:$C$9, 2, FALSE)</f>
        <v>0.59</v>
      </c>
      <c r="G22">
        <f>VLOOKUP($C22, published_rates!$A$2:$C$9, 3, FALSE)</f>
        <v>6.45</v>
      </c>
      <c r="H22">
        <f>VLOOKUP($B22, demand!$A$2:$C$44, 2, FALSE)</f>
        <v>743.05000000000007</v>
      </c>
      <c r="I22">
        <f>VLOOKUP($B22, demand!$A$2:$C$44, 3, FALSE)</f>
        <v>26</v>
      </c>
      <c r="J22" t="str">
        <f>VLOOKUP($B22, distributors!$A$2:$C$44, 2, FALSE)</f>
        <v>Fort Mohave</v>
      </c>
      <c r="K22" t="str">
        <f>VLOOKUP($B22, distributors!$A$2:$C$44, 3, FALSE)</f>
        <v>AZ</v>
      </c>
    </row>
    <row r="23" spans="1:11" x14ac:dyDescent="0.2">
      <c r="A23" s="2" t="s">
        <v>56</v>
      </c>
      <c r="B23" s="2">
        <v>89104</v>
      </c>
      <c r="C23" s="2">
        <v>8</v>
      </c>
      <c r="D23">
        <f>VLOOKUP($C23, private_rates!$A$2:$C$9, 2, FALSE)</f>
        <v>0.7</v>
      </c>
      <c r="E23">
        <f>VLOOKUP($C23, private_rates!$A$2:$C$9, 3, FALSE)</f>
        <v>7.4</v>
      </c>
      <c r="F23">
        <f>VLOOKUP($C23, published_rates!$A$2:$C$9, 2, FALSE)</f>
        <v>0.59</v>
      </c>
      <c r="G23">
        <f>VLOOKUP($C23, published_rates!$A$2:$C$9, 3, FALSE)</f>
        <v>6.45</v>
      </c>
      <c r="H23">
        <f>VLOOKUP($B23, demand!$A$2:$C$44, 2, FALSE)</f>
        <v>1033.9699999999998</v>
      </c>
      <c r="I23">
        <f>VLOOKUP($B23, demand!$A$2:$C$44, 3, FALSE)</f>
        <v>34</v>
      </c>
      <c r="J23" t="str">
        <f>VLOOKUP($B23, distributors!$A$2:$C$44, 2, FALSE)</f>
        <v>Las Vegas</v>
      </c>
      <c r="K23" t="str">
        <f>VLOOKUP($B23, distributors!$A$2:$C$44, 3, FALSE)</f>
        <v>NV</v>
      </c>
    </row>
    <row r="24" spans="1:11" x14ac:dyDescent="0.2">
      <c r="A24" s="2" t="s">
        <v>56</v>
      </c>
      <c r="B24" s="2">
        <v>89408</v>
      </c>
      <c r="C24" s="2">
        <v>8</v>
      </c>
      <c r="D24">
        <f>VLOOKUP($C24, private_rates!$A$2:$C$9, 2, FALSE)</f>
        <v>0.7</v>
      </c>
      <c r="E24">
        <f>VLOOKUP($C24, private_rates!$A$2:$C$9, 3, FALSE)</f>
        <v>7.4</v>
      </c>
      <c r="F24">
        <f>VLOOKUP($C24, published_rates!$A$2:$C$9, 2, FALSE)</f>
        <v>0.59</v>
      </c>
      <c r="G24">
        <f>VLOOKUP($C24, published_rates!$A$2:$C$9, 3, FALSE)</f>
        <v>6.45</v>
      </c>
      <c r="H24">
        <f>VLOOKUP($B24, demand!$A$2:$C$44, 2, FALSE)</f>
        <v>664.08</v>
      </c>
      <c r="I24">
        <f>VLOOKUP($B24, demand!$A$2:$C$44, 3, FALSE)</f>
        <v>22</v>
      </c>
      <c r="J24" t="str">
        <f>VLOOKUP($B24, distributors!$A$2:$C$44, 2, FALSE)</f>
        <v>Fernley</v>
      </c>
      <c r="K24" t="str">
        <f>VLOOKUP($B24, distributors!$A$2:$C$44, 3, FALSE)</f>
        <v>NV</v>
      </c>
    </row>
    <row r="25" spans="1:11" x14ac:dyDescent="0.2">
      <c r="A25" s="2" t="s">
        <v>56</v>
      </c>
      <c r="B25" s="2">
        <v>89509</v>
      </c>
      <c r="C25" s="2">
        <v>8</v>
      </c>
      <c r="D25">
        <f>VLOOKUP($C25, private_rates!$A$2:$C$9, 2, FALSE)</f>
        <v>0.7</v>
      </c>
      <c r="E25">
        <f>VLOOKUP($C25, private_rates!$A$2:$C$9, 3, FALSE)</f>
        <v>7.4</v>
      </c>
      <c r="F25">
        <f>VLOOKUP($C25, published_rates!$A$2:$C$9, 2, FALSE)</f>
        <v>0.59</v>
      </c>
      <c r="G25">
        <f>VLOOKUP($C25, published_rates!$A$2:$C$9, 3, FALSE)</f>
        <v>6.45</v>
      </c>
      <c r="H25">
        <f>VLOOKUP($B25, demand!$A$2:$C$44, 2, FALSE)</f>
        <v>707.57</v>
      </c>
      <c r="I25">
        <f>VLOOKUP($B25, demand!$A$2:$C$44, 3, FALSE)</f>
        <v>24</v>
      </c>
      <c r="J25" t="str">
        <f>VLOOKUP($B25, distributors!$A$2:$C$44, 2, FALSE)</f>
        <v>Reno</v>
      </c>
      <c r="K25" t="str">
        <f>VLOOKUP($B25, distributors!$A$2:$C$44, 3, FALSE)</f>
        <v>NV</v>
      </c>
    </row>
    <row r="26" spans="1:11" x14ac:dyDescent="0.2">
      <c r="A26" s="2" t="s">
        <v>56</v>
      </c>
      <c r="B26" s="2">
        <v>89822</v>
      </c>
      <c r="C26" s="2">
        <v>8</v>
      </c>
      <c r="D26">
        <f>VLOOKUP($C26, private_rates!$A$2:$C$9, 2, FALSE)</f>
        <v>0.7</v>
      </c>
      <c r="E26">
        <f>VLOOKUP($C26, private_rates!$A$2:$C$9, 3, FALSE)</f>
        <v>7.4</v>
      </c>
      <c r="F26">
        <f>VLOOKUP($C26, published_rates!$A$2:$C$9, 2, FALSE)</f>
        <v>0.59</v>
      </c>
      <c r="G26">
        <f>VLOOKUP($C26, published_rates!$A$2:$C$9, 3, FALSE)</f>
        <v>6.45</v>
      </c>
      <c r="H26">
        <f>VLOOKUP($B26, demand!$A$2:$C$44, 2, FALSE)</f>
        <v>449.57000000000005</v>
      </c>
      <c r="I26">
        <f>VLOOKUP($B26, demand!$A$2:$C$44, 3, FALSE)</f>
        <v>15</v>
      </c>
      <c r="J26" t="str">
        <f>VLOOKUP($B26, distributors!$A$2:$C$44, 2, FALSE)</f>
        <v>Carlin</v>
      </c>
      <c r="K26" t="str">
        <f>VLOOKUP($B26, distributors!$A$2:$C$44, 3, FALSE)</f>
        <v>NV</v>
      </c>
    </row>
    <row r="27" spans="1:11" x14ac:dyDescent="0.2">
      <c r="A27" s="2" t="s">
        <v>56</v>
      </c>
      <c r="B27" s="2">
        <v>90061</v>
      </c>
      <c r="C27" s="2">
        <v>8</v>
      </c>
      <c r="D27">
        <f>VLOOKUP($C27, private_rates!$A$2:$C$9, 2, FALSE)</f>
        <v>0.7</v>
      </c>
      <c r="E27">
        <f>VLOOKUP($C27, private_rates!$A$2:$C$9, 3, FALSE)</f>
        <v>7.4</v>
      </c>
      <c r="F27">
        <f>VLOOKUP($C27, published_rates!$A$2:$C$9, 2, FALSE)</f>
        <v>0.59</v>
      </c>
      <c r="G27">
        <f>VLOOKUP($C27, published_rates!$A$2:$C$9, 3, FALSE)</f>
        <v>6.45</v>
      </c>
      <c r="H27">
        <f>VLOOKUP($B27, demand!$A$2:$C$44, 2, FALSE)</f>
        <v>1106.2900000000002</v>
      </c>
      <c r="I27">
        <f>VLOOKUP($B27, demand!$A$2:$C$44, 3, FALSE)</f>
        <v>38</v>
      </c>
      <c r="J27" t="str">
        <f>VLOOKUP($B27, distributors!$A$2:$C$44, 2, FALSE)</f>
        <v>Los Angeles</v>
      </c>
      <c r="K27" t="str">
        <f>VLOOKUP($B27, distributors!$A$2:$C$44, 3, FALSE)</f>
        <v>CA</v>
      </c>
    </row>
    <row r="28" spans="1:11" x14ac:dyDescent="0.2">
      <c r="A28" s="2" t="s">
        <v>56</v>
      </c>
      <c r="B28" s="2">
        <v>93030</v>
      </c>
      <c r="C28" s="2">
        <v>8</v>
      </c>
      <c r="D28">
        <f>VLOOKUP($C28, private_rates!$A$2:$C$9, 2, FALSE)</f>
        <v>0.7</v>
      </c>
      <c r="E28">
        <f>VLOOKUP($C28, private_rates!$A$2:$C$9, 3, FALSE)</f>
        <v>7.4</v>
      </c>
      <c r="F28">
        <f>VLOOKUP($C28, published_rates!$A$2:$C$9, 2, FALSE)</f>
        <v>0.59</v>
      </c>
      <c r="G28">
        <f>VLOOKUP($C28, published_rates!$A$2:$C$9, 3, FALSE)</f>
        <v>6.45</v>
      </c>
      <c r="H28">
        <f>VLOOKUP($B28, demand!$A$2:$C$44, 2, FALSE)</f>
        <v>716.37</v>
      </c>
      <c r="I28">
        <f>VLOOKUP($B28, demand!$A$2:$C$44, 3, FALSE)</f>
        <v>25</v>
      </c>
      <c r="J28" t="str">
        <f>VLOOKUP($B28, distributors!$A$2:$C$44, 2, FALSE)</f>
        <v>Oxnard</v>
      </c>
      <c r="K28" t="str">
        <f>VLOOKUP($B28, distributors!$A$2:$C$44, 3, FALSE)</f>
        <v>CA</v>
      </c>
    </row>
    <row r="29" spans="1:11" x14ac:dyDescent="0.2">
      <c r="A29" s="2" t="s">
        <v>56</v>
      </c>
      <c r="B29" s="2">
        <v>93427</v>
      </c>
      <c r="C29" s="2">
        <v>8</v>
      </c>
      <c r="D29">
        <f>VLOOKUP($C29, private_rates!$A$2:$C$9, 2, FALSE)</f>
        <v>0.7</v>
      </c>
      <c r="E29">
        <f>VLOOKUP($C29, private_rates!$A$2:$C$9, 3, FALSE)</f>
        <v>7.4</v>
      </c>
      <c r="F29">
        <f>VLOOKUP($C29, published_rates!$A$2:$C$9, 2, FALSE)</f>
        <v>0.59</v>
      </c>
      <c r="G29">
        <f>VLOOKUP($C29, published_rates!$A$2:$C$9, 3, FALSE)</f>
        <v>6.45</v>
      </c>
      <c r="H29">
        <f>VLOOKUP($B29, demand!$A$2:$C$44, 2, FALSE)</f>
        <v>571.88000000000011</v>
      </c>
      <c r="I29">
        <f>VLOOKUP($B29, demand!$A$2:$C$44, 3, FALSE)</f>
        <v>18</v>
      </c>
      <c r="J29" t="str">
        <f>VLOOKUP($B29, distributors!$A$2:$C$44, 2, FALSE)</f>
        <v>Buellton</v>
      </c>
      <c r="K29" t="str">
        <f>VLOOKUP($B29, distributors!$A$2:$C$44, 3, FALSE)</f>
        <v>CA</v>
      </c>
    </row>
    <row r="30" spans="1:11" x14ac:dyDescent="0.2">
      <c r="A30" s="2" t="s">
        <v>56</v>
      </c>
      <c r="B30" s="2">
        <v>93703</v>
      </c>
      <c r="C30" s="2">
        <v>8</v>
      </c>
      <c r="D30">
        <f>VLOOKUP($C30, private_rates!$A$2:$C$9, 2, FALSE)</f>
        <v>0.7</v>
      </c>
      <c r="E30">
        <f>VLOOKUP($C30, private_rates!$A$2:$C$9, 3, FALSE)</f>
        <v>7.4</v>
      </c>
      <c r="F30">
        <f>VLOOKUP($C30, published_rates!$A$2:$C$9, 2, FALSE)</f>
        <v>0.59</v>
      </c>
      <c r="G30">
        <f>VLOOKUP($C30, published_rates!$A$2:$C$9, 3, FALSE)</f>
        <v>6.45</v>
      </c>
      <c r="H30">
        <f>VLOOKUP($B30, demand!$A$2:$C$44, 2, FALSE)</f>
        <v>1164.45</v>
      </c>
      <c r="I30">
        <f>VLOOKUP($B30, demand!$A$2:$C$44, 3, FALSE)</f>
        <v>39</v>
      </c>
      <c r="J30" t="str">
        <f>VLOOKUP($B30, distributors!$A$2:$C$44, 2, FALSE)</f>
        <v>Fresno</v>
      </c>
      <c r="K30" t="str">
        <f>VLOOKUP($B30, distributors!$A$2:$C$44, 3, FALSE)</f>
        <v>CA</v>
      </c>
    </row>
    <row r="31" spans="1:11" x14ac:dyDescent="0.2">
      <c r="A31" s="2" t="s">
        <v>56</v>
      </c>
      <c r="B31" s="2">
        <v>93906</v>
      </c>
      <c r="C31" s="2">
        <v>8</v>
      </c>
      <c r="D31">
        <f>VLOOKUP($C31, private_rates!$A$2:$C$9, 2, FALSE)</f>
        <v>0.7</v>
      </c>
      <c r="E31">
        <f>VLOOKUP($C31, private_rates!$A$2:$C$9, 3, FALSE)</f>
        <v>7.4</v>
      </c>
      <c r="F31">
        <f>VLOOKUP($C31, published_rates!$A$2:$C$9, 2, FALSE)</f>
        <v>0.59</v>
      </c>
      <c r="G31">
        <f>VLOOKUP($C31, published_rates!$A$2:$C$9, 3, FALSE)</f>
        <v>6.45</v>
      </c>
      <c r="H31">
        <f>VLOOKUP($B31, demand!$A$2:$C$44, 2, FALSE)</f>
        <v>894.16999999999985</v>
      </c>
      <c r="I31">
        <f>VLOOKUP($B31, demand!$A$2:$C$44, 3, FALSE)</f>
        <v>30</v>
      </c>
      <c r="J31" t="str">
        <f>VLOOKUP($B31, distributors!$A$2:$C$44, 2, FALSE)</f>
        <v>Salinas</v>
      </c>
      <c r="K31" t="str">
        <f>VLOOKUP($B31, distributors!$A$2:$C$44, 3, FALSE)</f>
        <v>CA</v>
      </c>
    </row>
    <row r="32" spans="1:11" x14ac:dyDescent="0.2">
      <c r="A32" s="2" t="s">
        <v>56</v>
      </c>
      <c r="B32" s="2">
        <v>94403</v>
      </c>
      <c r="C32" s="2">
        <v>8</v>
      </c>
      <c r="D32">
        <f>VLOOKUP($C32, private_rates!$A$2:$C$9, 2, FALSE)</f>
        <v>0.7</v>
      </c>
      <c r="E32">
        <f>VLOOKUP($C32, private_rates!$A$2:$C$9, 3, FALSE)</f>
        <v>7.4</v>
      </c>
      <c r="F32">
        <f>VLOOKUP($C32, published_rates!$A$2:$C$9, 2, FALSE)</f>
        <v>0.59</v>
      </c>
      <c r="G32">
        <f>VLOOKUP($C32, published_rates!$A$2:$C$9, 3, FALSE)</f>
        <v>6.45</v>
      </c>
      <c r="H32">
        <f>VLOOKUP($B32, demand!$A$2:$C$44, 2, FALSE)</f>
        <v>724.06999999999994</v>
      </c>
      <c r="I32">
        <f>VLOOKUP($B32, demand!$A$2:$C$44, 3, FALSE)</f>
        <v>24</v>
      </c>
      <c r="J32" t="str">
        <f>VLOOKUP($B32, distributors!$A$2:$C$44, 2, FALSE)</f>
        <v>San Mateo</v>
      </c>
      <c r="K32" t="str">
        <f>VLOOKUP($B32, distributors!$A$2:$C$44, 3, FALSE)</f>
        <v>CA</v>
      </c>
    </row>
    <row r="33" spans="1:11" x14ac:dyDescent="0.2">
      <c r="A33" s="2" t="s">
        <v>56</v>
      </c>
      <c r="B33" s="2">
        <v>95051</v>
      </c>
      <c r="C33" s="2">
        <v>8</v>
      </c>
      <c r="D33">
        <f>VLOOKUP($C33, private_rates!$A$2:$C$9, 2, FALSE)</f>
        <v>0.7</v>
      </c>
      <c r="E33">
        <f>VLOOKUP($C33, private_rates!$A$2:$C$9, 3, FALSE)</f>
        <v>7.4</v>
      </c>
      <c r="F33">
        <f>VLOOKUP($C33, published_rates!$A$2:$C$9, 2, FALSE)</f>
        <v>0.59</v>
      </c>
      <c r="G33">
        <f>VLOOKUP($C33, published_rates!$A$2:$C$9, 3, FALSE)</f>
        <v>6.45</v>
      </c>
      <c r="H33">
        <f>VLOOKUP($B33, demand!$A$2:$C$44, 2, FALSE)</f>
        <v>806.2600000000001</v>
      </c>
      <c r="I33">
        <f>VLOOKUP($B33, demand!$A$2:$C$44, 3, FALSE)</f>
        <v>26</v>
      </c>
      <c r="J33" t="str">
        <f>VLOOKUP($B33, distributors!$A$2:$C$44, 2, FALSE)</f>
        <v>Santa Clara</v>
      </c>
      <c r="K33" t="str">
        <f>VLOOKUP($B33, distributors!$A$2:$C$44, 3, FALSE)</f>
        <v>CA</v>
      </c>
    </row>
    <row r="34" spans="1:11" x14ac:dyDescent="0.2">
      <c r="A34" s="2" t="s">
        <v>56</v>
      </c>
      <c r="B34" s="2">
        <v>95993</v>
      </c>
      <c r="C34" s="2">
        <v>8</v>
      </c>
      <c r="D34">
        <f>VLOOKUP($C34, private_rates!$A$2:$C$9, 2, FALSE)</f>
        <v>0.7</v>
      </c>
      <c r="E34">
        <f>VLOOKUP($C34, private_rates!$A$2:$C$9, 3, FALSE)</f>
        <v>7.4</v>
      </c>
      <c r="F34">
        <f>VLOOKUP($C34, published_rates!$A$2:$C$9, 2, FALSE)</f>
        <v>0.59</v>
      </c>
      <c r="G34">
        <f>VLOOKUP($C34, published_rates!$A$2:$C$9, 3, FALSE)</f>
        <v>6.45</v>
      </c>
      <c r="H34">
        <f>VLOOKUP($B34, demand!$A$2:$C$44, 2, FALSE)</f>
        <v>783.16</v>
      </c>
      <c r="I34">
        <f>VLOOKUP($B34, demand!$A$2:$C$44, 3, FALSE)</f>
        <v>26</v>
      </c>
      <c r="J34" t="str">
        <f>VLOOKUP($B34, distributors!$A$2:$C$44, 2, FALSE)</f>
        <v>Yuba City</v>
      </c>
      <c r="K34" t="str">
        <f>VLOOKUP($B34, distributors!$A$2:$C$44, 3, FALSE)</f>
        <v>CA</v>
      </c>
    </row>
    <row r="35" spans="1:11" x14ac:dyDescent="0.2">
      <c r="A35" s="2" t="s">
        <v>56</v>
      </c>
      <c r="B35" s="2">
        <v>96130</v>
      </c>
      <c r="C35" s="2">
        <v>8</v>
      </c>
      <c r="D35">
        <f>VLOOKUP($C35, private_rates!$A$2:$C$9, 2, FALSE)</f>
        <v>0.7</v>
      </c>
      <c r="E35">
        <f>VLOOKUP($C35, private_rates!$A$2:$C$9, 3, FALSE)</f>
        <v>7.4</v>
      </c>
      <c r="F35">
        <f>VLOOKUP($C35, published_rates!$A$2:$C$9, 2, FALSE)</f>
        <v>0.59</v>
      </c>
      <c r="G35">
        <f>VLOOKUP($C35, published_rates!$A$2:$C$9, 3, FALSE)</f>
        <v>6.45</v>
      </c>
      <c r="H35">
        <f>VLOOKUP($B35, demand!$A$2:$C$44, 2, FALSE)</f>
        <v>488.46000000000004</v>
      </c>
      <c r="I35">
        <f>VLOOKUP($B35, demand!$A$2:$C$44, 3, FALSE)</f>
        <v>16</v>
      </c>
      <c r="J35" t="str">
        <f>VLOOKUP($B35, distributors!$A$2:$C$44, 2, FALSE)</f>
        <v>Susanville</v>
      </c>
      <c r="K35" t="str">
        <f>VLOOKUP($B35, distributors!$A$2:$C$44, 3, FALSE)</f>
        <v>CA</v>
      </c>
    </row>
    <row r="36" spans="1:11" x14ac:dyDescent="0.2">
      <c r="A36" s="2" t="s">
        <v>56</v>
      </c>
      <c r="B36" s="2">
        <v>97002</v>
      </c>
      <c r="C36" s="2">
        <v>8</v>
      </c>
      <c r="D36">
        <f>VLOOKUP($C36, private_rates!$A$2:$C$9, 2, FALSE)</f>
        <v>0.7</v>
      </c>
      <c r="E36">
        <f>VLOOKUP($C36, private_rates!$A$2:$C$9, 3, FALSE)</f>
        <v>7.4</v>
      </c>
      <c r="F36">
        <f>VLOOKUP($C36, published_rates!$A$2:$C$9, 2, FALSE)</f>
        <v>0.59</v>
      </c>
      <c r="G36">
        <f>VLOOKUP($C36, published_rates!$A$2:$C$9, 3, FALSE)</f>
        <v>6.45</v>
      </c>
      <c r="H36">
        <f>VLOOKUP($B36, demand!$A$2:$C$44, 2, FALSE)</f>
        <v>665.41999999999985</v>
      </c>
      <c r="I36">
        <f>VLOOKUP($B36, demand!$A$2:$C$44, 3, FALSE)</f>
        <v>22</v>
      </c>
      <c r="J36" t="str">
        <f>VLOOKUP($B36, distributors!$A$2:$C$44, 2, FALSE)</f>
        <v>Aurora</v>
      </c>
      <c r="K36" t="str">
        <f>VLOOKUP($B36, distributors!$A$2:$C$44, 3, FALSE)</f>
        <v>OR</v>
      </c>
    </row>
    <row r="37" spans="1:11" x14ac:dyDescent="0.2">
      <c r="A37" s="2" t="s">
        <v>56</v>
      </c>
      <c r="B37" s="2">
        <v>97524</v>
      </c>
      <c r="C37" s="2">
        <v>8</v>
      </c>
      <c r="D37">
        <f>VLOOKUP($C37, private_rates!$A$2:$C$9, 2, FALSE)</f>
        <v>0.7</v>
      </c>
      <c r="E37">
        <f>VLOOKUP($C37, private_rates!$A$2:$C$9, 3, FALSE)</f>
        <v>7.4</v>
      </c>
      <c r="F37">
        <f>VLOOKUP($C37, published_rates!$A$2:$C$9, 2, FALSE)</f>
        <v>0.59</v>
      </c>
      <c r="G37">
        <f>VLOOKUP($C37, published_rates!$A$2:$C$9, 3, FALSE)</f>
        <v>6.45</v>
      </c>
      <c r="H37">
        <f>VLOOKUP($B37, demand!$A$2:$C$44, 2, FALSE)</f>
        <v>935.86999999999989</v>
      </c>
      <c r="I37">
        <f>VLOOKUP($B37, demand!$A$2:$C$44, 3, FALSE)</f>
        <v>30</v>
      </c>
      <c r="J37" t="str">
        <f>VLOOKUP($B37, distributors!$A$2:$C$44, 2, FALSE)</f>
        <v>Eagle Point</v>
      </c>
      <c r="K37" t="str">
        <f>VLOOKUP($B37, distributors!$A$2:$C$44, 3, FALSE)</f>
        <v>OR</v>
      </c>
    </row>
    <row r="38" spans="1:11" x14ac:dyDescent="0.2">
      <c r="A38" s="2" t="s">
        <v>56</v>
      </c>
      <c r="B38" s="2">
        <v>97862</v>
      </c>
      <c r="C38" s="2">
        <v>8</v>
      </c>
      <c r="D38">
        <f>VLOOKUP($C38, private_rates!$A$2:$C$9, 2, FALSE)</f>
        <v>0.7</v>
      </c>
      <c r="E38">
        <f>VLOOKUP($C38, private_rates!$A$2:$C$9, 3, FALSE)</f>
        <v>7.4</v>
      </c>
      <c r="F38">
        <f>VLOOKUP($C38, published_rates!$A$2:$C$9, 2, FALSE)</f>
        <v>0.59</v>
      </c>
      <c r="G38">
        <f>VLOOKUP($C38, published_rates!$A$2:$C$9, 3, FALSE)</f>
        <v>6.45</v>
      </c>
      <c r="H38">
        <f>VLOOKUP($B38, demand!$A$2:$C$44, 2, FALSE)</f>
        <v>817.06</v>
      </c>
      <c r="I38">
        <f>VLOOKUP($B38, demand!$A$2:$C$44, 3, FALSE)</f>
        <v>26</v>
      </c>
      <c r="J38" t="str">
        <f>VLOOKUP($B38, distributors!$A$2:$C$44, 2, FALSE)</f>
        <v>Milton Freewater</v>
      </c>
      <c r="K38" t="str">
        <f>VLOOKUP($B38, distributors!$A$2:$C$44, 3, FALSE)</f>
        <v>OR</v>
      </c>
    </row>
    <row r="39" spans="1:11" x14ac:dyDescent="0.2">
      <c r="A39" s="2" t="s">
        <v>56</v>
      </c>
      <c r="B39" s="2">
        <v>97920</v>
      </c>
      <c r="C39" s="2">
        <v>8</v>
      </c>
      <c r="D39">
        <f>VLOOKUP($C39, private_rates!$A$2:$C$9, 2, FALSE)</f>
        <v>0.7</v>
      </c>
      <c r="E39">
        <f>VLOOKUP($C39, private_rates!$A$2:$C$9, 3, FALSE)</f>
        <v>7.4</v>
      </c>
      <c r="F39">
        <f>VLOOKUP($C39, published_rates!$A$2:$C$9, 2, FALSE)</f>
        <v>0.59</v>
      </c>
      <c r="G39">
        <f>VLOOKUP($C39, published_rates!$A$2:$C$9, 3, FALSE)</f>
        <v>6.45</v>
      </c>
      <c r="H39">
        <f>VLOOKUP($B39, demand!$A$2:$C$44, 2, FALSE)</f>
        <v>546.56999999999994</v>
      </c>
      <c r="I39">
        <f>VLOOKUP($B39, demand!$A$2:$C$44, 3, FALSE)</f>
        <v>16</v>
      </c>
      <c r="J39" t="str">
        <f>VLOOKUP($B39, distributors!$A$2:$C$44, 2, FALSE)</f>
        <v>Westfall</v>
      </c>
      <c r="K39" t="str">
        <f>VLOOKUP($B39, distributors!$A$2:$C$44, 3, FALSE)</f>
        <v>OR</v>
      </c>
    </row>
    <row r="40" spans="1:11" x14ac:dyDescent="0.2">
      <c r="A40" s="2" t="s">
        <v>56</v>
      </c>
      <c r="B40" s="2">
        <v>98059</v>
      </c>
      <c r="C40" s="2">
        <v>8</v>
      </c>
      <c r="D40">
        <f>VLOOKUP($C40, private_rates!$A$2:$C$9, 2, FALSE)</f>
        <v>0.7</v>
      </c>
      <c r="E40">
        <f>VLOOKUP($C40, private_rates!$A$2:$C$9, 3, FALSE)</f>
        <v>7.4</v>
      </c>
      <c r="F40">
        <f>VLOOKUP($C40, published_rates!$A$2:$C$9, 2, FALSE)</f>
        <v>0.59</v>
      </c>
      <c r="G40">
        <f>VLOOKUP($C40, published_rates!$A$2:$C$9, 3, FALSE)</f>
        <v>6.45</v>
      </c>
      <c r="H40">
        <f>VLOOKUP($B40, demand!$A$2:$C$44, 2, FALSE)</f>
        <v>968.45</v>
      </c>
      <c r="I40">
        <f>VLOOKUP($B40, demand!$A$2:$C$44, 3, FALSE)</f>
        <v>30</v>
      </c>
      <c r="J40" t="str">
        <f>VLOOKUP($B40, distributors!$A$2:$C$44, 2, FALSE)</f>
        <v>Renton</v>
      </c>
      <c r="K40" t="str">
        <f>VLOOKUP($B40, distributors!$A$2:$C$44, 3, FALSE)</f>
        <v>WA</v>
      </c>
    </row>
    <row r="41" spans="1:11" x14ac:dyDescent="0.2">
      <c r="A41" s="2" t="s">
        <v>56</v>
      </c>
      <c r="B41" s="2">
        <v>98248</v>
      </c>
      <c r="C41" s="2">
        <v>8</v>
      </c>
      <c r="D41">
        <f>VLOOKUP($C41, private_rates!$A$2:$C$9, 2, FALSE)</f>
        <v>0.7</v>
      </c>
      <c r="E41">
        <f>VLOOKUP($C41, private_rates!$A$2:$C$9, 3, FALSE)</f>
        <v>7.4</v>
      </c>
      <c r="F41">
        <f>VLOOKUP($C41, published_rates!$A$2:$C$9, 2, FALSE)</f>
        <v>0.59</v>
      </c>
      <c r="G41">
        <f>VLOOKUP($C41, published_rates!$A$2:$C$9, 3, FALSE)</f>
        <v>6.45</v>
      </c>
      <c r="H41">
        <f>VLOOKUP($B41, demand!$A$2:$C$44, 2, FALSE)</f>
        <v>752.47</v>
      </c>
      <c r="I41">
        <f>VLOOKUP($B41, demand!$A$2:$C$44, 3, FALSE)</f>
        <v>23</v>
      </c>
      <c r="J41" t="str">
        <f>VLOOKUP($B41, distributors!$A$2:$C$44, 2, FALSE)</f>
        <v>Ferndale</v>
      </c>
      <c r="K41" t="str">
        <f>VLOOKUP($B41, distributors!$A$2:$C$44, 3, FALSE)</f>
        <v>WA</v>
      </c>
    </row>
    <row r="42" spans="1:11" x14ac:dyDescent="0.2">
      <c r="A42" s="2" t="s">
        <v>56</v>
      </c>
      <c r="B42" s="2">
        <v>98812</v>
      </c>
      <c r="C42" s="2">
        <v>8</v>
      </c>
      <c r="D42">
        <f>VLOOKUP($C42, private_rates!$A$2:$C$9, 2, FALSE)</f>
        <v>0.7</v>
      </c>
      <c r="E42">
        <f>VLOOKUP($C42, private_rates!$A$2:$C$9, 3, FALSE)</f>
        <v>7.4</v>
      </c>
      <c r="F42">
        <f>VLOOKUP($C42, published_rates!$A$2:$C$9, 2, FALSE)</f>
        <v>0.59</v>
      </c>
      <c r="G42">
        <f>VLOOKUP($C42, published_rates!$A$2:$C$9, 3, FALSE)</f>
        <v>6.45</v>
      </c>
      <c r="H42">
        <f>VLOOKUP($B42, demand!$A$2:$C$44, 2, FALSE)</f>
        <v>679.12999999999977</v>
      </c>
      <c r="I42">
        <f>VLOOKUP($B42, demand!$A$2:$C$44, 3, FALSE)</f>
        <v>22</v>
      </c>
      <c r="J42" t="str">
        <f>VLOOKUP($B42, distributors!$A$2:$C$44, 2, FALSE)</f>
        <v>Brewster</v>
      </c>
      <c r="K42" t="str">
        <f>VLOOKUP($B42, distributors!$A$2:$C$44, 3, FALSE)</f>
        <v>WA</v>
      </c>
    </row>
    <row r="43" spans="1:11" x14ac:dyDescent="0.2">
      <c r="A43" s="2" t="s">
        <v>56</v>
      </c>
      <c r="B43" s="2">
        <v>99223</v>
      </c>
      <c r="C43" s="2">
        <v>8</v>
      </c>
      <c r="D43">
        <f>VLOOKUP($C43, private_rates!$A$2:$C$9, 2, FALSE)</f>
        <v>0.7</v>
      </c>
      <c r="E43">
        <f>VLOOKUP($C43, private_rates!$A$2:$C$9, 3, FALSE)</f>
        <v>7.4</v>
      </c>
      <c r="F43">
        <f>VLOOKUP($C43, published_rates!$A$2:$C$9, 2, FALSE)</f>
        <v>0.59</v>
      </c>
      <c r="G43">
        <f>VLOOKUP($C43, published_rates!$A$2:$C$9, 3, FALSE)</f>
        <v>6.45</v>
      </c>
      <c r="H43">
        <f>VLOOKUP($B43, demand!$A$2:$C$44, 2, FALSE)</f>
        <v>669.4</v>
      </c>
      <c r="I43">
        <f>VLOOKUP($B43, demand!$A$2:$C$44, 3, FALSE)</f>
        <v>21</v>
      </c>
      <c r="J43" t="str">
        <f>VLOOKUP($B43, distributors!$A$2:$C$44, 2, FALSE)</f>
        <v>Spokane</v>
      </c>
      <c r="K43" t="str">
        <f>VLOOKUP($B43, distributors!$A$2:$C$44, 3, FALSE)</f>
        <v>WA</v>
      </c>
    </row>
    <row r="44" spans="1:11" x14ac:dyDescent="0.2">
      <c r="A44" s="2" t="s">
        <v>56</v>
      </c>
      <c r="B44" s="2">
        <v>99350</v>
      </c>
      <c r="C44" s="2">
        <v>8</v>
      </c>
      <c r="D44">
        <f>VLOOKUP($C44, private_rates!$A$2:$C$9, 2, FALSE)</f>
        <v>0.7</v>
      </c>
      <c r="E44">
        <f>VLOOKUP($C44, private_rates!$A$2:$C$9, 3, FALSE)</f>
        <v>7.4</v>
      </c>
      <c r="F44">
        <f>VLOOKUP($C44, published_rates!$A$2:$C$9, 2, FALSE)</f>
        <v>0.59</v>
      </c>
      <c r="G44">
        <f>VLOOKUP($C44, published_rates!$A$2:$C$9, 3, FALSE)</f>
        <v>6.45</v>
      </c>
      <c r="H44">
        <f>VLOOKUP($B44, demand!$A$2:$C$44, 2, FALSE)</f>
        <v>711.80000000000018</v>
      </c>
      <c r="I44">
        <f>VLOOKUP($B44, demand!$A$2:$C$44, 3, FALSE)</f>
        <v>22</v>
      </c>
      <c r="J44" t="str">
        <f>VLOOKUP($B44, distributors!$A$2:$C$44, 2, FALSE)</f>
        <v>Prosser</v>
      </c>
      <c r="K44" t="str">
        <f>VLOOKUP($B44, distributors!$A$2:$C$44, 3, FALSE)</f>
        <v>WA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2"/>
  <sheetViews>
    <sheetView zoomScale="115" workbookViewId="0">
      <selection activeCell="I2" sqref="I2"/>
    </sheetView>
  </sheetViews>
  <sheetFormatPr baseColWidth="10" defaultColWidth="8.83203125" defaultRowHeight="15" x14ac:dyDescent="0.2"/>
  <cols>
    <col min="1" max="1" width="14.5" style="2" customWidth="1"/>
    <col min="2" max="2" width="15.5" style="2" customWidth="1"/>
    <col min="3" max="3" width="5.33203125" style="2" bestFit="1" customWidth="1"/>
    <col min="4" max="4" width="18.1640625" customWidth="1"/>
    <col min="5" max="5" width="20.6640625" customWidth="1"/>
    <col min="6" max="7" width="18.33203125" customWidth="1"/>
    <col min="8" max="9" width="16" customWidth="1"/>
    <col min="10" max="10" width="18.33203125" customWidth="1"/>
    <col min="11" max="11" width="16" customWidth="1"/>
  </cols>
  <sheetData>
    <row r="1" spans="1:11" x14ac:dyDescent="0.2">
      <c r="A1" s="3" t="s">
        <v>82</v>
      </c>
      <c r="B1" s="3" t="s">
        <v>0</v>
      </c>
      <c r="C1" s="3" t="s">
        <v>55</v>
      </c>
      <c r="D1" s="3" t="s">
        <v>89</v>
      </c>
      <c r="E1" s="3" t="s">
        <v>90</v>
      </c>
      <c r="F1" s="3" t="s">
        <v>91</v>
      </c>
      <c r="G1" s="3" t="s">
        <v>92</v>
      </c>
      <c r="H1" s="1" t="s">
        <v>79</v>
      </c>
      <c r="I1" s="1" t="s">
        <v>80</v>
      </c>
      <c r="J1" s="3" t="s">
        <v>64</v>
      </c>
      <c r="K1" s="3" t="s">
        <v>93</v>
      </c>
    </row>
    <row r="2" spans="1:11" x14ac:dyDescent="0.2">
      <c r="A2" s="2" t="s">
        <v>57</v>
      </c>
      <c r="B2" s="2">
        <v>59019</v>
      </c>
      <c r="C2" s="2">
        <v>5</v>
      </c>
      <c r="D2">
        <f>VLOOKUP($C2, private_rates!$A$2:$C$9, 2, FALSE)</f>
        <v>0.4</v>
      </c>
      <c r="E2">
        <f>VLOOKUP($C2, private_rates!$A$2:$C$9, 3, FALSE)</f>
        <v>5</v>
      </c>
      <c r="F2">
        <f>VLOOKUP($C2, published_rates!$A$2:$C$9, 2, FALSE)</f>
        <v>0.46</v>
      </c>
      <c r="G2">
        <f>VLOOKUP($C2, published_rates!$A$2:$C$9, 3, FALSE)</f>
        <v>5.4</v>
      </c>
      <c r="H2">
        <f>VLOOKUP($B2, demand!$A$2:$C$44, 2, FALSE)</f>
        <v>779.83999999999992</v>
      </c>
      <c r="I2">
        <f>VLOOKUP($B2, demand!$A$2:$C$44, 3, FALSE)</f>
        <v>30</v>
      </c>
      <c r="J2" t="str">
        <f>VLOOKUP($B2, distributors!$A$2:$C$44, 2, FALSE)</f>
        <v>Columbus</v>
      </c>
      <c r="K2" t="str">
        <f>VLOOKUP($B2, distributors!$A$2:$C$44, 3, FALSE)</f>
        <v>MT</v>
      </c>
    </row>
    <row r="3" spans="1:11" x14ac:dyDescent="0.2">
      <c r="A3" s="2" t="s">
        <v>57</v>
      </c>
      <c r="B3" s="2">
        <v>59634</v>
      </c>
      <c r="C3" s="2">
        <v>5</v>
      </c>
      <c r="D3">
        <f>VLOOKUP($C3, private_rates!$A$2:$C$9, 2, FALSE)</f>
        <v>0.4</v>
      </c>
      <c r="E3">
        <f>VLOOKUP($C3, private_rates!$A$2:$C$9, 3, FALSE)</f>
        <v>5</v>
      </c>
      <c r="F3">
        <f>VLOOKUP($C3, published_rates!$A$2:$C$9, 2, FALSE)</f>
        <v>0.46</v>
      </c>
      <c r="G3">
        <f>VLOOKUP($C3, published_rates!$A$2:$C$9, 3, FALSE)</f>
        <v>5.4</v>
      </c>
      <c r="H3">
        <f>VLOOKUP($B3, demand!$A$2:$C$44, 2, FALSE)</f>
        <v>730.32999999999993</v>
      </c>
      <c r="I3">
        <f>VLOOKUP($B3, demand!$A$2:$C$44, 3, FALSE)</f>
        <v>29</v>
      </c>
      <c r="J3" t="str">
        <f>VLOOKUP($B3, distributors!$A$2:$C$44, 2, FALSE)</f>
        <v>Clancy</v>
      </c>
      <c r="K3" t="str">
        <f>VLOOKUP($B3, distributors!$A$2:$C$44, 3, FALSE)</f>
        <v>MT</v>
      </c>
    </row>
    <row r="4" spans="1:11" x14ac:dyDescent="0.2">
      <c r="A4" s="2" t="s">
        <v>57</v>
      </c>
      <c r="B4" s="2">
        <v>59808</v>
      </c>
      <c r="C4" s="2">
        <v>5</v>
      </c>
      <c r="D4">
        <f>VLOOKUP($C4, private_rates!$A$2:$C$9, 2, FALSE)</f>
        <v>0.4</v>
      </c>
      <c r="E4">
        <f>VLOOKUP($C4, private_rates!$A$2:$C$9, 3, FALSE)</f>
        <v>5</v>
      </c>
      <c r="F4">
        <f>VLOOKUP($C4, published_rates!$A$2:$C$9, 2, FALSE)</f>
        <v>0.46</v>
      </c>
      <c r="G4">
        <f>VLOOKUP($C4, published_rates!$A$2:$C$9, 3, FALSE)</f>
        <v>5.4</v>
      </c>
      <c r="H4">
        <f>VLOOKUP($B4, demand!$A$2:$C$44, 2, FALSE)</f>
        <v>568.34</v>
      </c>
      <c r="I4">
        <f>VLOOKUP($B4, demand!$A$2:$C$44, 3, FALSE)</f>
        <v>23</v>
      </c>
      <c r="J4" t="str">
        <f>VLOOKUP($B4, distributors!$A$2:$C$44, 2, FALSE)</f>
        <v>Missoula</v>
      </c>
      <c r="K4" t="str">
        <f>VLOOKUP($B4, distributors!$A$2:$C$44, 3, FALSE)</f>
        <v>MT</v>
      </c>
    </row>
    <row r="5" spans="1:11" x14ac:dyDescent="0.2">
      <c r="A5" s="2" t="s">
        <v>57</v>
      </c>
      <c r="B5" s="2">
        <v>81321</v>
      </c>
      <c r="C5" s="2">
        <v>5</v>
      </c>
      <c r="D5">
        <f>VLOOKUP($C5, private_rates!$A$2:$C$9, 2, FALSE)</f>
        <v>0.4</v>
      </c>
      <c r="E5">
        <f>VLOOKUP($C5, private_rates!$A$2:$C$9, 3, FALSE)</f>
        <v>5</v>
      </c>
      <c r="F5">
        <f>VLOOKUP($C5, published_rates!$A$2:$C$9, 2, FALSE)</f>
        <v>0.46</v>
      </c>
      <c r="G5">
        <f>VLOOKUP($C5, published_rates!$A$2:$C$9, 3, FALSE)</f>
        <v>5.4</v>
      </c>
      <c r="H5">
        <f>VLOOKUP($B5, demand!$A$2:$C$44, 2, FALSE)</f>
        <v>759</v>
      </c>
      <c r="I5">
        <f>VLOOKUP($B5, demand!$A$2:$C$44, 3, FALSE)</f>
        <v>32</v>
      </c>
      <c r="J5" t="str">
        <f>VLOOKUP($B5, distributors!$A$2:$C$44, 2, FALSE)</f>
        <v>Cortez</v>
      </c>
      <c r="K5" t="str">
        <f>VLOOKUP($B5, distributors!$A$2:$C$44, 3, FALSE)</f>
        <v>CO</v>
      </c>
    </row>
    <row r="6" spans="1:11" x14ac:dyDescent="0.2">
      <c r="A6" s="2" t="s">
        <v>57</v>
      </c>
      <c r="B6" s="2">
        <v>81416</v>
      </c>
      <c r="C6" s="2">
        <v>5</v>
      </c>
      <c r="D6">
        <f>VLOOKUP($C6, private_rates!$A$2:$C$9, 2, FALSE)</f>
        <v>0.4</v>
      </c>
      <c r="E6">
        <f>VLOOKUP($C6, private_rates!$A$2:$C$9, 3, FALSE)</f>
        <v>5</v>
      </c>
      <c r="F6">
        <f>VLOOKUP($C6, published_rates!$A$2:$C$9, 2, FALSE)</f>
        <v>0.46</v>
      </c>
      <c r="G6">
        <f>VLOOKUP($C6, published_rates!$A$2:$C$9, 3, FALSE)</f>
        <v>5.4</v>
      </c>
      <c r="H6">
        <f>VLOOKUP($B6, demand!$A$2:$C$44, 2, FALSE)</f>
        <v>976.23</v>
      </c>
      <c r="I6">
        <f>VLOOKUP($B6, demand!$A$2:$C$44, 3, FALSE)</f>
        <v>37</v>
      </c>
      <c r="J6" t="str">
        <f>VLOOKUP($B6, distributors!$A$2:$C$44, 2, FALSE)</f>
        <v>Delta</v>
      </c>
      <c r="K6" t="str">
        <f>VLOOKUP($B6, distributors!$A$2:$C$44, 3, FALSE)</f>
        <v>CO</v>
      </c>
    </row>
    <row r="7" spans="1:11" x14ac:dyDescent="0.2">
      <c r="A7" s="2" t="s">
        <v>57</v>
      </c>
      <c r="B7" s="2">
        <v>81504</v>
      </c>
      <c r="C7" s="2">
        <v>5</v>
      </c>
      <c r="D7">
        <f>VLOOKUP($C7, private_rates!$A$2:$C$9, 2, FALSE)</f>
        <v>0.4</v>
      </c>
      <c r="E7">
        <f>VLOOKUP($C7, private_rates!$A$2:$C$9, 3, FALSE)</f>
        <v>5</v>
      </c>
      <c r="F7">
        <f>VLOOKUP($C7, published_rates!$A$2:$C$9, 2, FALSE)</f>
        <v>0.46</v>
      </c>
      <c r="G7">
        <f>VLOOKUP($C7, published_rates!$A$2:$C$9, 3, FALSE)</f>
        <v>5.4</v>
      </c>
      <c r="H7">
        <f>VLOOKUP($B7, demand!$A$2:$C$44, 2, FALSE)</f>
        <v>860.19000000000028</v>
      </c>
      <c r="I7">
        <f>VLOOKUP($B7, demand!$A$2:$C$44, 3, FALSE)</f>
        <v>32</v>
      </c>
      <c r="J7" t="str">
        <f>VLOOKUP($B7, distributors!$A$2:$C$44, 2, FALSE)</f>
        <v>Grand Junction</v>
      </c>
      <c r="K7" t="str">
        <f>VLOOKUP($B7, distributors!$A$2:$C$44, 3, FALSE)</f>
        <v>CO</v>
      </c>
    </row>
    <row r="8" spans="1:11" x14ac:dyDescent="0.2">
      <c r="A8" s="2" t="s">
        <v>57</v>
      </c>
      <c r="B8" s="2">
        <v>81650</v>
      </c>
      <c r="C8" s="2">
        <v>5</v>
      </c>
      <c r="D8">
        <f>VLOOKUP($C8, private_rates!$A$2:$C$9, 2, FALSE)</f>
        <v>0.4</v>
      </c>
      <c r="E8">
        <f>VLOOKUP($C8, private_rates!$A$2:$C$9, 3, FALSE)</f>
        <v>5</v>
      </c>
      <c r="F8">
        <f>VLOOKUP($C8, published_rates!$A$2:$C$9, 2, FALSE)</f>
        <v>0.46</v>
      </c>
      <c r="G8">
        <f>VLOOKUP($C8, published_rates!$A$2:$C$9, 3, FALSE)</f>
        <v>5.4</v>
      </c>
      <c r="H8">
        <f>VLOOKUP($B8, demand!$A$2:$C$44, 2, FALSE)</f>
        <v>585.81000000000006</v>
      </c>
      <c r="I8">
        <f>VLOOKUP($B8, demand!$A$2:$C$44, 3, FALSE)</f>
        <v>22</v>
      </c>
      <c r="J8" t="str">
        <f>VLOOKUP($B8, distributors!$A$2:$C$44, 2, FALSE)</f>
        <v>Rifle</v>
      </c>
      <c r="K8" t="str">
        <f>VLOOKUP($B8, distributors!$A$2:$C$44, 3, FALSE)</f>
        <v>CO</v>
      </c>
    </row>
    <row r="9" spans="1:11" x14ac:dyDescent="0.2">
      <c r="A9" s="2" t="s">
        <v>57</v>
      </c>
      <c r="B9" s="2">
        <v>83014</v>
      </c>
      <c r="C9" s="2">
        <v>5</v>
      </c>
      <c r="D9">
        <f>VLOOKUP($C9, private_rates!$A$2:$C$9, 2, FALSE)</f>
        <v>0.4</v>
      </c>
      <c r="E9">
        <f>VLOOKUP($C9, private_rates!$A$2:$C$9, 3, FALSE)</f>
        <v>5</v>
      </c>
      <c r="F9">
        <f>VLOOKUP($C9, published_rates!$A$2:$C$9, 2, FALSE)</f>
        <v>0.46</v>
      </c>
      <c r="G9">
        <f>VLOOKUP($C9, published_rates!$A$2:$C$9, 3, FALSE)</f>
        <v>5.4</v>
      </c>
      <c r="H9">
        <f>VLOOKUP($B9, demand!$A$2:$C$44, 2, FALSE)</f>
        <v>412.08000000000004</v>
      </c>
      <c r="I9">
        <f>VLOOKUP($B9, demand!$A$2:$C$44, 3, FALSE)</f>
        <v>15</v>
      </c>
      <c r="J9" t="str">
        <f>VLOOKUP($B9, distributors!$A$2:$C$44, 2, FALSE)</f>
        <v>Wilson</v>
      </c>
      <c r="K9" t="str">
        <f>VLOOKUP($B9, distributors!$A$2:$C$44, 3, FALSE)</f>
        <v>WY</v>
      </c>
    </row>
    <row r="10" spans="1:11" x14ac:dyDescent="0.2">
      <c r="A10" s="2" t="s">
        <v>57</v>
      </c>
      <c r="B10" s="2">
        <v>83338</v>
      </c>
      <c r="C10" s="2">
        <v>5</v>
      </c>
      <c r="D10">
        <f>VLOOKUP($C10, private_rates!$A$2:$C$9, 2, FALSE)</f>
        <v>0.4</v>
      </c>
      <c r="E10">
        <f>VLOOKUP($C10, private_rates!$A$2:$C$9, 3, FALSE)</f>
        <v>5</v>
      </c>
      <c r="F10">
        <f>VLOOKUP($C10, published_rates!$A$2:$C$9, 2, FALSE)</f>
        <v>0.46</v>
      </c>
      <c r="G10">
        <f>VLOOKUP($C10, published_rates!$A$2:$C$9, 3, FALSE)</f>
        <v>5.4</v>
      </c>
      <c r="H10">
        <f>VLOOKUP($B10, demand!$A$2:$C$44, 2, FALSE)</f>
        <v>546.12999999999988</v>
      </c>
      <c r="I10">
        <f>VLOOKUP($B10, demand!$A$2:$C$44, 3, FALSE)</f>
        <v>21</v>
      </c>
      <c r="J10" t="str">
        <f>VLOOKUP($B10, distributors!$A$2:$C$44, 2, FALSE)</f>
        <v>Jerome</v>
      </c>
      <c r="K10" t="str">
        <f>VLOOKUP($B10, distributors!$A$2:$C$44, 3, FALSE)</f>
        <v>ID</v>
      </c>
    </row>
    <row r="11" spans="1:11" x14ac:dyDescent="0.2">
      <c r="A11" s="2" t="s">
        <v>57</v>
      </c>
      <c r="B11" s="2">
        <v>83544</v>
      </c>
      <c r="C11" s="2">
        <v>5</v>
      </c>
      <c r="D11">
        <f>VLOOKUP($C11, private_rates!$A$2:$C$9, 2, FALSE)</f>
        <v>0.4</v>
      </c>
      <c r="E11">
        <f>VLOOKUP($C11, private_rates!$A$2:$C$9, 3, FALSE)</f>
        <v>5</v>
      </c>
      <c r="F11">
        <f>VLOOKUP($C11, published_rates!$A$2:$C$9, 2, FALSE)</f>
        <v>0.46</v>
      </c>
      <c r="G11">
        <f>VLOOKUP($C11, published_rates!$A$2:$C$9, 3, FALSE)</f>
        <v>5.4</v>
      </c>
      <c r="H11">
        <f>VLOOKUP($B11, demand!$A$2:$C$44, 2, FALSE)</f>
        <v>599.47</v>
      </c>
      <c r="I11">
        <f>VLOOKUP($B11, demand!$A$2:$C$44, 3, FALSE)</f>
        <v>22</v>
      </c>
      <c r="J11" t="str">
        <f>VLOOKUP($B11, distributors!$A$2:$C$44, 2, FALSE)</f>
        <v>Orofino</v>
      </c>
      <c r="K11" t="str">
        <f>VLOOKUP($B11, distributors!$A$2:$C$44, 3, FALSE)</f>
        <v>ID</v>
      </c>
    </row>
    <row r="12" spans="1:11" x14ac:dyDescent="0.2">
      <c r="A12" s="2" t="s">
        <v>57</v>
      </c>
      <c r="B12" s="2">
        <v>83638</v>
      </c>
      <c r="C12" s="2">
        <v>5</v>
      </c>
      <c r="D12">
        <f>VLOOKUP($C12, private_rates!$A$2:$C$9, 2, FALSE)</f>
        <v>0.4</v>
      </c>
      <c r="E12">
        <f>VLOOKUP($C12, private_rates!$A$2:$C$9, 3, FALSE)</f>
        <v>5</v>
      </c>
      <c r="F12">
        <f>VLOOKUP($C12, published_rates!$A$2:$C$9, 2, FALSE)</f>
        <v>0.46</v>
      </c>
      <c r="G12">
        <f>VLOOKUP($C12, published_rates!$A$2:$C$9, 3, FALSE)</f>
        <v>5.4</v>
      </c>
      <c r="H12">
        <f>VLOOKUP($B12, demand!$A$2:$C$44, 2, FALSE)</f>
        <v>853.4100000000002</v>
      </c>
      <c r="I12">
        <f>VLOOKUP($B12, demand!$A$2:$C$44, 3, FALSE)</f>
        <v>30</v>
      </c>
      <c r="J12" t="str">
        <f>VLOOKUP($B12, distributors!$A$2:$C$44, 2, FALSE)</f>
        <v>McCall</v>
      </c>
      <c r="K12" t="str">
        <f>VLOOKUP($B12, distributors!$A$2:$C$44, 3, FALSE)</f>
        <v>ID</v>
      </c>
    </row>
    <row r="13" spans="1:11" x14ac:dyDescent="0.2">
      <c r="A13" s="2" t="s">
        <v>57</v>
      </c>
      <c r="B13" s="2">
        <v>83706</v>
      </c>
      <c r="C13" s="2">
        <v>5</v>
      </c>
      <c r="D13">
        <f>VLOOKUP($C13, private_rates!$A$2:$C$9, 2, FALSE)</f>
        <v>0.4</v>
      </c>
      <c r="E13">
        <f>VLOOKUP($C13, private_rates!$A$2:$C$9, 3, FALSE)</f>
        <v>5</v>
      </c>
      <c r="F13">
        <f>VLOOKUP($C13, published_rates!$A$2:$C$9, 2, FALSE)</f>
        <v>0.46</v>
      </c>
      <c r="G13">
        <f>VLOOKUP($C13, published_rates!$A$2:$C$9, 3, FALSE)</f>
        <v>5.4</v>
      </c>
      <c r="H13">
        <f>VLOOKUP($B13, demand!$A$2:$C$44, 2, FALSE)</f>
        <v>518.5200000000001</v>
      </c>
      <c r="I13">
        <f>VLOOKUP($B13, demand!$A$2:$C$44, 3, FALSE)</f>
        <v>18</v>
      </c>
      <c r="J13" t="str">
        <f>VLOOKUP($B13, distributors!$A$2:$C$44, 2, FALSE)</f>
        <v>Boise</v>
      </c>
      <c r="K13" t="str">
        <f>VLOOKUP($B13, distributors!$A$2:$C$44, 3, FALSE)</f>
        <v>ID</v>
      </c>
    </row>
    <row r="14" spans="1:11" x14ac:dyDescent="0.2">
      <c r="A14" s="2" t="s">
        <v>57</v>
      </c>
      <c r="B14" s="2">
        <v>84003</v>
      </c>
      <c r="C14" s="2">
        <v>4</v>
      </c>
      <c r="D14">
        <f>VLOOKUP($C14, private_rates!$A$2:$C$9, 2, FALSE)</f>
        <v>0.35</v>
      </c>
      <c r="E14">
        <f>VLOOKUP($C14, private_rates!$A$2:$C$9, 3, FALSE)</f>
        <v>4.6500000000000004</v>
      </c>
      <c r="F14">
        <f>VLOOKUP($C14, published_rates!$A$2:$C$9, 2, FALSE)</f>
        <v>0.41</v>
      </c>
      <c r="G14">
        <f>VLOOKUP($C14, published_rates!$A$2:$C$9, 3, FALSE)</f>
        <v>5</v>
      </c>
      <c r="H14">
        <f>VLOOKUP($B14, demand!$A$2:$C$44, 2, FALSE)</f>
        <v>706.61</v>
      </c>
      <c r="I14">
        <f>VLOOKUP($B14, demand!$A$2:$C$44, 3, FALSE)</f>
        <v>25</v>
      </c>
      <c r="J14" t="str">
        <f>VLOOKUP($B14, distributors!$A$2:$C$44, 2, FALSE)</f>
        <v>American Fork</v>
      </c>
      <c r="K14" t="str">
        <f>VLOOKUP($B14, distributors!$A$2:$C$44, 3, FALSE)</f>
        <v>UT</v>
      </c>
    </row>
    <row r="15" spans="1:11" x14ac:dyDescent="0.2">
      <c r="A15" s="2" t="s">
        <v>57</v>
      </c>
      <c r="B15" s="2">
        <v>84414</v>
      </c>
      <c r="C15" s="2">
        <v>4</v>
      </c>
      <c r="D15">
        <f>VLOOKUP($C15, private_rates!$A$2:$C$9, 2, FALSE)</f>
        <v>0.35</v>
      </c>
      <c r="E15">
        <f>VLOOKUP($C15, private_rates!$A$2:$C$9, 3, FALSE)</f>
        <v>4.6500000000000004</v>
      </c>
      <c r="F15">
        <f>VLOOKUP($C15, published_rates!$A$2:$C$9, 2, FALSE)</f>
        <v>0.41</v>
      </c>
      <c r="G15">
        <f>VLOOKUP($C15, published_rates!$A$2:$C$9, 3, FALSE)</f>
        <v>5</v>
      </c>
      <c r="H15">
        <f>VLOOKUP($B15, demand!$A$2:$C$44, 2, FALSE)</f>
        <v>613.67000000000007</v>
      </c>
      <c r="I15">
        <f>VLOOKUP($B15, demand!$A$2:$C$44, 3, FALSE)</f>
        <v>22</v>
      </c>
      <c r="J15" t="str">
        <f>VLOOKUP($B15, distributors!$A$2:$C$44, 2, FALSE)</f>
        <v>Ogden</v>
      </c>
      <c r="K15" t="str">
        <f>VLOOKUP($B15, distributors!$A$2:$C$44, 3, FALSE)</f>
        <v>UT</v>
      </c>
    </row>
    <row r="16" spans="1:11" x14ac:dyDescent="0.2">
      <c r="A16" s="2" t="s">
        <v>57</v>
      </c>
      <c r="B16" s="2">
        <v>84532</v>
      </c>
      <c r="C16" s="2">
        <v>4</v>
      </c>
      <c r="D16">
        <f>VLOOKUP($C16, private_rates!$A$2:$C$9, 2, FALSE)</f>
        <v>0.35</v>
      </c>
      <c r="E16">
        <f>VLOOKUP($C16, private_rates!$A$2:$C$9, 3, FALSE)</f>
        <v>4.6500000000000004</v>
      </c>
      <c r="F16">
        <f>VLOOKUP($C16, published_rates!$A$2:$C$9, 2, FALSE)</f>
        <v>0.41</v>
      </c>
      <c r="G16">
        <f>VLOOKUP($C16, published_rates!$A$2:$C$9, 3, FALSE)</f>
        <v>5</v>
      </c>
      <c r="H16">
        <f>VLOOKUP($B16, demand!$A$2:$C$44, 2, FALSE)</f>
        <v>339.5</v>
      </c>
      <c r="I16">
        <f>VLOOKUP($B16, demand!$A$2:$C$44, 3, FALSE)</f>
        <v>11</v>
      </c>
      <c r="J16" t="str">
        <f>VLOOKUP($B16, distributors!$A$2:$C$44, 2, FALSE)</f>
        <v>Moab</v>
      </c>
      <c r="K16" t="str">
        <f>VLOOKUP($B16, distributors!$A$2:$C$44, 3, FALSE)</f>
        <v>UT</v>
      </c>
    </row>
    <row r="17" spans="1:11" x14ac:dyDescent="0.2">
      <c r="A17" s="2" t="s">
        <v>57</v>
      </c>
      <c r="B17" s="2">
        <v>84780</v>
      </c>
      <c r="C17" s="2">
        <v>4</v>
      </c>
      <c r="D17">
        <f>VLOOKUP($C17, private_rates!$A$2:$C$9, 2, FALSE)</f>
        <v>0.35</v>
      </c>
      <c r="E17">
        <f>VLOOKUP($C17, private_rates!$A$2:$C$9, 3, FALSE)</f>
        <v>4.6500000000000004</v>
      </c>
      <c r="F17">
        <f>VLOOKUP($C17, published_rates!$A$2:$C$9, 2, FALSE)</f>
        <v>0.41</v>
      </c>
      <c r="G17">
        <f>VLOOKUP($C17, published_rates!$A$2:$C$9, 3, FALSE)</f>
        <v>5</v>
      </c>
      <c r="H17">
        <f>VLOOKUP($B17, demand!$A$2:$C$44, 2, FALSE)</f>
        <v>648.88</v>
      </c>
      <c r="I17">
        <f>VLOOKUP($B17, demand!$A$2:$C$44, 3, FALSE)</f>
        <v>22</v>
      </c>
      <c r="J17" t="str">
        <f>VLOOKUP($B17, distributors!$A$2:$C$44, 2, FALSE)</f>
        <v>Washington</v>
      </c>
      <c r="K17" t="str">
        <f>VLOOKUP($B17, distributors!$A$2:$C$44, 3, FALSE)</f>
        <v>UT</v>
      </c>
    </row>
    <row r="18" spans="1:11" x14ac:dyDescent="0.2">
      <c r="A18" s="2" t="s">
        <v>57</v>
      </c>
      <c r="B18" s="2">
        <v>85012</v>
      </c>
      <c r="C18" s="2">
        <v>4</v>
      </c>
      <c r="D18">
        <f>VLOOKUP($C18, private_rates!$A$2:$C$9, 2, FALSE)</f>
        <v>0.35</v>
      </c>
      <c r="E18">
        <f>VLOOKUP($C18, private_rates!$A$2:$C$9, 3, FALSE)</f>
        <v>4.6500000000000004</v>
      </c>
      <c r="F18">
        <f>VLOOKUP($C18, published_rates!$A$2:$C$9, 2, FALSE)</f>
        <v>0.41</v>
      </c>
      <c r="G18">
        <f>VLOOKUP($C18, published_rates!$A$2:$C$9, 3, FALSE)</f>
        <v>5</v>
      </c>
      <c r="H18">
        <f>VLOOKUP($B18, demand!$A$2:$C$44, 2, FALSE)</f>
        <v>685.8499999999998</v>
      </c>
      <c r="I18">
        <f>VLOOKUP($B18, demand!$A$2:$C$44, 3, FALSE)</f>
        <v>25</v>
      </c>
      <c r="J18" t="str">
        <f>VLOOKUP($B18, distributors!$A$2:$C$44, 2, FALSE)</f>
        <v>Phoeniz</v>
      </c>
      <c r="K18" t="str">
        <f>VLOOKUP($B18, distributors!$A$2:$C$44, 3, FALSE)</f>
        <v>AZ</v>
      </c>
    </row>
    <row r="19" spans="1:11" x14ac:dyDescent="0.2">
      <c r="A19" s="2" t="s">
        <v>57</v>
      </c>
      <c r="B19" s="2">
        <v>86004</v>
      </c>
      <c r="C19" s="2">
        <v>4</v>
      </c>
      <c r="D19">
        <f>VLOOKUP($C19, private_rates!$A$2:$C$9, 2, FALSE)</f>
        <v>0.35</v>
      </c>
      <c r="E19">
        <f>VLOOKUP($C19, private_rates!$A$2:$C$9, 3, FALSE)</f>
        <v>4.6500000000000004</v>
      </c>
      <c r="F19">
        <f>VLOOKUP($C19, published_rates!$A$2:$C$9, 2, FALSE)</f>
        <v>0.41</v>
      </c>
      <c r="G19">
        <f>VLOOKUP($C19, published_rates!$A$2:$C$9, 3, FALSE)</f>
        <v>5</v>
      </c>
      <c r="H19">
        <f>VLOOKUP($B19, demand!$A$2:$C$44, 2, FALSE)</f>
        <v>654.43000000000006</v>
      </c>
      <c r="I19">
        <f>VLOOKUP($B19, demand!$A$2:$C$44, 3, FALSE)</f>
        <v>24</v>
      </c>
      <c r="J19" t="str">
        <f>VLOOKUP($B19, distributors!$A$2:$C$44, 2, FALSE)</f>
        <v>Flagstaff</v>
      </c>
      <c r="K19" t="str">
        <f>VLOOKUP($B19, distributors!$A$2:$C$44, 3, FALSE)</f>
        <v>AZ</v>
      </c>
    </row>
    <row r="20" spans="1:11" x14ac:dyDescent="0.2">
      <c r="A20" s="2" t="s">
        <v>57</v>
      </c>
      <c r="B20" s="2">
        <v>86042</v>
      </c>
      <c r="C20" s="2">
        <v>4</v>
      </c>
      <c r="D20">
        <f>VLOOKUP($C20, private_rates!$A$2:$C$9, 2, FALSE)</f>
        <v>0.35</v>
      </c>
      <c r="E20">
        <f>VLOOKUP($C20, private_rates!$A$2:$C$9, 3, FALSE)</f>
        <v>4.6500000000000004</v>
      </c>
      <c r="F20">
        <f>VLOOKUP($C20, published_rates!$A$2:$C$9, 2, FALSE)</f>
        <v>0.41</v>
      </c>
      <c r="G20">
        <f>VLOOKUP($C20, published_rates!$A$2:$C$9, 3, FALSE)</f>
        <v>5</v>
      </c>
      <c r="H20">
        <f>VLOOKUP($B20, demand!$A$2:$C$44, 2, FALSE)</f>
        <v>522.40000000000009</v>
      </c>
      <c r="I20">
        <f>VLOOKUP($B20, demand!$A$2:$C$44, 3, FALSE)</f>
        <v>18</v>
      </c>
      <c r="J20" t="str">
        <f>VLOOKUP($B20, distributors!$A$2:$C$44, 2, FALSE)</f>
        <v>Polacca</v>
      </c>
      <c r="K20" t="str">
        <f>VLOOKUP($B20, distributors!$A$2:$C$44, 3, FALSE)</f>
        <v>AZ</v>
      </c>
    </row>
    <row r="21" spans="1:11" x14ac:dyDescent="0.2">
      <c r="A21" s="2" t="s">
        <v>57</v>
      </c>
      <c r="B21" s="2">
        <v>86314</v>
      </c>
      <c r="C21" s="2">
        <v>4</v>
      </c>
      <c r="D21">
        <f>VLOOKUP($C21, private_rates!$A$2:$C$9, 2, FALSE)</f>
        <v>0.35</v>
      </c>
      <c r="E21">
        <f>VLOOKUP($C21, private_rates!$A$2:$C$9, 3, FALSE)</f>
        <v>4.6500000000000004</v>
      </c>
      <c r="F21">
        <f>VLOOKUP($C21, published_rates!$A$2:$C$9, 2, FALSE)</f>
        <v>0.41</v>
      </c>
      <c r="G21">
        <f>VLOOKUP($C21, published_rates!$A$2:$C$9, 3, FALSE)</f>
        <v>5</v>
      </c>
      <c r="H21">
        <f>VLOOKUP($B21, demand!$A$2:$C$44, 2, FALSE)</f>
        <v>788.67000000000019</v>
      </c>
      <c r="I21">
        <f>VLOOKUP($B21, demand!$A$2:$C$44, 3, FALSE)</f>
        <v>27</v>
      </c>
      <c r="J21" t="str">
        <f>VLOOKUP($B21, distributors!$A$2:$C$44, 2, FALSE)</f>
        <v>Prescott Valley</v>
      </c>
      <c r="K21" t="str">
        <f>VLOOKUP($B21, distributors!$A$2:$C$44, 3, FALSE)</f>
        <v>AZ</v>
      </c>
    </row>
    <row r="22" spans="1:11" x14ac:dyDescent="0.2">
      <c r="A22" s="2" t="s">
        <v>57</v>
      </c>
      <c r="B22" s="2">
        <v>86426</v>
      </c>
      <c r="C22" s="2">
        <v>3</v>
      </c>
      <c r="D22">
        <f>VLOOKUP($C22, private_rates!$A$2:$C$9, 2, FALSE)</f>
        <v>0.32</v>
      </c>
      <c r="E22">
        <f>VLOOKUP($C22, private_rates!$A$2:$C$9, 3, FALSE)</f>
        <v>4.3</v>
      </c>
      <c r="F22">
        <f>VLOOKUP($C22, published_rates!$A$2:$C$9, 2, FALSE)</f>
        <v>0.37</v>
      </c>
      <c r="G22">
        <f>VLOOKUP($C22, published_rates!$A$2:$C$9, 3, FALSE)</f>
        <v>4.6500000000000004</v>
      </c>
      <c r="H22">
        <f>VLOOKUP($B22, demand!$A$2:$C$44, 2, FALSE)</f>
        <v>743.05000000000007</v>
      </c>
      <c r="I22">
        <f>VLOOKUP($B22, demand!$A$2:$C$44, 3, FALSE)</f>
        <v>26</v>
      </c>
      <c r="J22" t="str">
        <f>VLOOKUP($B22, distributors!$A$2:$C$44, 2, FALSE)</f>
        <v>Fort Mohave</v>
      </c>
      <c r="K22" t="str">
        <f>VLOOKUP($B22, distributors!$A$2:$C$44, 3, FALSE)</f>
        <v>AZ</v>
      </c>
    </row>
    <row r="23" spans="1:11" x14ac:dyDescent="0.2">
      <c r="A23" s="2" t="s">
        <v>57</v>
      </c>
      <c r="B23" s="2">
        <v>89104</v>
      </c>
      <c r="C23" s="2">
        <v>3</v>
      </c>
      <c r="D23">
        <f>VLOOKUP($C23, private_rates!$A$2:$C$9, 2, FALSE)</f>
        <v>0.32</v>
      </c>
      <c r="E23">
        <f>VLOOKUP($C23, private_rates!$A$2:$C$9, 3, FALSE)</f>
        <v>4.3</v>
      </c>
      <c r="F23">
        <f>VLOOKUP($C23, published_rates!$A$2:$C$9, 2, FALSE)</f>
        <v>0.37</v>
      </c>
      <c r="G23">
        <f>VLOOKUP($C23, published_rates!$A$2:$C$9, 3, FALSE)</f>
        <v>4.6500000000000004</v>
      </c>
      <c r="H23">
        <f>VLOOKUP($B23, demand!$A$2:$C$44, 2, FALSE)</f>
        <v>1033.9699999999998</v>
      </c>
      <c r="I23">
        <f>VLOOKUP($B23, demand!$A$2:$C$44, 3, FALSE)</f>
        <v>34</v>
      </c>
      <c r="J23" t="str">
        <f>VLOOKUP($B23, distributors!$A$2:$C$44, 2, FALSE)</f>
        <v>Las Vegas</v>
      </c>
      <c r="K23" t="str">
        <f>VLOOKUP($B23, distributors!$A$2:$C$44, 3, FALSE)</f>
        <v>NV</v>
      </c>
    </row>
    <row r="24" spans="1:11" x14ac:dyDescent="0.2">
      <c r="A24" s="2" t="s">
        <v>57</v>
      </c>
      <c r="B24" s="2">
        <v>89408</v>
      </c>
      <c r="C24" s="2">
        <v>4</v>
      </c>
      <c r="D24">
        <f>VLOOKUP($C24, private_rates!$A$2:$C$9, 2, FALSE)</f>
        <v>0.35</v>
      </c>
      <c r="E24">
        <f>VLOOKUP($C24, private_rates!$A$2:$C$9, 3, FALSE)</f>
        <v>4.6500000000000004</v>
      </c>
      <c r="F24">
        <f>VLOOKUP($C24, published_rates!$A$2:$C$9, 2, FALSE)</f>
        <v>0.41</v>
      </c>
      <c r="G24">
        <f>VLOOKUP($C24, published_rates!$A$2:$C$9, 3, FALSE)</f>
        <v>5</v>
      </c>
      <c r="H24">
        <f>VLOOKUP($B24, demand!$A$2:$C$44, 2, FALSE)</f>
        <v>664.08</v>
      </c>
      <c r="I24">
        <f>VLOOKUP($B24, demand!$A$2:$C$44, 3, FALSE)</f>
        <v>22</v>
      </c>
      <c r="J24" t="str">
        <f>VLOOKUP($B24, distributors!$A$2:$C$44, 2, FALSE)</f>
        <v>Fernley</v>
      </c>
      <c r="K24" t="str">
        <f>VLOOKUP($B24, distributors!$A$2:$C$44, 3, FALSE)</f>
        <v>NV</v>
      </c>
    </row>
    <row r="25" spans="1:11" x14ac:dyDescent="0.2">
      <c r="A25" s="2" t="s">
        <v>57</v>
      </c>
      <c r="B25" s="2">
        <v>89509</v>
      </c>
      <c r="C25" s="2">
        <v>4</v>
      </c>
      <c r="D25">
        <f>VLOOKUP($C25, private_rates!$A$2:$C$9, 2, FALSE)</f>
        <v>0.35</v>
      </c>
      <c r="E25">
        <f>VLOOKUP($C25, private_rates!$A$2:$C$9, 3, FALSE)</f>
        <v>4.6500000000000004</v>
      </c>
      <c r="F25">
        <f>VLOOKUP($C25, published_rates!$A$2:$C$9, 2, FALSE)</f>
        <v>0.41</v>
      </c>
      <c r="G25">
        <f>VLOOKUP($C25, published_rates!$A$2:$C$9, 3, FALSE)</f>
        <v>5</v>
      </c>
      <c r="H25">
        <f>VLOOKUP($B25, demand!$A$2:$C$44, 2, FALSE)</f>
        <v>707.57</v>
      </c>
      <c r="I25">
        <f>VLOOKUP($B25, demand!$A$2:$C$44, 3, FALSE)</f>
        <v>24</v>
      </c>
      <c r="J25" t="str">
        <f>VLOOKUP($B25, distributors!$A$2:$C$44, 2, FALSE)</f>
        <v>Reno</v>
      </c>
      <c r="K25" t="str">
        <f>VLOOKUP($B25, distributors!$A$2:$C$44, 3, FALSE)</f>
        <v>NV</v>
      </c>
    </row>
    <row r="26" spans="1:11" x14ac:dyDescent="0.2">
      <c r="A26" s="2" t="s">
        <v>57</v>
      </c>
      <c r="B26" s="2">
        <v>89822</v>
      </c>
      <c r="C26" s="2">
        <v>4</v>
      </c>
      <c r="D26">
        <f>VLOOKUP($C26, private_rates!$A$2:$C$9, 2, FALSE)</f>
        <v>0.35</v>
      </c>
      <c r="E26">
        <f>VLOOKUP($C26, private_rates!$A$2:$C$9, 3, FALSE)</f>
        <v>4.6500000000000004</v>
      </c>
      <c r="F26">
        <f>VLOOKUP($C26, published_rates!$A$2:$C$9, 2, FALSE)</f>
        <v>0.41</v>
      </c>
      <c r="G26">
        <f>VLOOKUP($C26, published_rates!$A$2:$C$9, 3, FALSE)</f>
        <v>5</v>
      </c>
      <c r="H26">
        <f>VLOOKUP($B26, demand!$A$2:$C$44, 2, FALSE)</f>
        <v>449.57000000000005</v>
      </c>
      <c r="I26">
        <f>VLOOKUP($B26, demand!$A$2:$C$44, 3, FALSE)</f>
        <v>15</v>
      </c>
      <c r="J26" t="str">
        <f>VLOOKUP($B26, distributors!$A$2:$C$44, 2, FALSE)</f>
        <v>Carlin</v>
      </c>
      <c r="K26" t="str">
        <f>VLOOKUP($B26, distributors!$A$2:$C$44, 3, FALSE)</f>
        <v>NV</v>
      </c>
    </row>
    <row r="27" spans="1:11" x14ac:dyDescent="0.2">
      <c r="A27" s="2" t="s">
        <v>57</v>
      </c>
      <c r="B27" s="2">
        <v>90061</v>
      </c>
      <c r="C27" s="2">
        <v>2</v>
      </c>
      <c r="D27">
        <f>VLOOKUP($C27, private_rates!$A$2:$C$9, 2, FALSE)</f>
        <v>0.28000000000000003</v>
      </c>
      <c r="E27">
        <f>VLOOKUP($C27, private_rates!$A$2:$C$9, 3, FALSE)</f>
        <v>4</v>
      </c>
      <c r="F27">
        <f>VLOOKUP($C27, published_rates!$A$2:$C$9, 2, FALSE)</f>
        <v>0.33</v>
      </c>
      <c r="G27">
        <f>VLOOKUP($C27, published_rates!$A$2:$C$9, 3, FALSE)</f>
        <v>4.2</v>
      </c>
      <c r="H27">
        <f>VLOOKUP($B27, demand!$A$2:$C$44, 2, FALSE)</f>
        <v>1106.2900000000002</v>
      </c>
      <c r="I27">
        <f>VLOOKUP($B27, demand!$A$2:$C$44, 3, FALSE)</f>
        <v>38</v>
      </c>
      <c r="J27" t="str">
        <f>VLOOKUP($B27, distributors!$A$2:$C$44, 2, FALSE)</f>
        <v>Los Angeles</v>
      </c>
      <c r="K27" t="str">
        <f>VLOOKUP($B27, distributors!$A$2:$C$44, 3, FALSE)</f>
        <v>CA</v>
      </c>
    </row>
    <row r="28" spans="1:11" x14ac:dyDescent="0.2">
      <c r="A28" s="2" t="s">
        <v>57</v>
      </c>
      <c r="B28" s="2">
        <v>93030</v>
      </c>
      <c r="C28" s="2">
        <v>2</v>
      </c>
      <c r="D28">
        <f>VLOOKUP($C28, private_rates!$A$2:$C$9, 2, FALSE)</f>
        <v>0.28000000000000003</v>
      </c>
      <c r="E28">
        <f>VLOOKUP($C28, private_rates!$A$2:$C$9, 3, FALSE)</f>
        <v>4</v>
      </c>
      <c r="F28">
        <f>VLOOKUP($C28, published_rates!$A$2:$C$9, 2, FALSE)</f>
        <v>0.33</v>
      </c>
      <c r="G28">
        <f>VLOOKUP($C28, published_rates!$A$2:$C$9, 3, FALSE)</f>
        <v>4.2</v>
      </c>
      <c r="H28">
        <f>VLOOKUP($B28, demand!$A$2:$C$44, 2, FALSE)</f>
        <v>716.37</v>
      </c>
      <c r="I28">
        <f>VLOOKUP($B28, demand!$A$2:$C$44, 3, FALSE)</f>
        <v>25</v>
      </c>
      <c r="J28" t="str">
        <f>VLOOKUP($B28, distributors!$A$2:$C$44, 2, FALSE)</f>
        <v>Oxnard</v>
      </c>
      <c r="K28" t="str">
        <f>VLOOKUP($B28, distributors!$A$2:$C$44, 3, FALSE)</f>
        <v>CA</v>
      </c>
    </row>
    <row r="29" spans="1:11" x14ac:dyDescent="0.2">
      <c r="A29" s="2" t="s">
        <v>57</v>
      </c>
      <c r="B29" s="2">
        <v>93427</v>
      </c>
      <c r="C29" s="2">
        <v>2</v>
      </c>
      <c r="D29">
        <f>VLOOKUP($C29, private_rates!$A$2:$C$9, 2, FALSE)</f>
        <v>0.28000000000000003</v>
      </c>
      <c r="E29">
        <f>VLOOKUP($C29, private_rates!$A$2:$C$9, 3, FALSE)</f>
        <v>4</v>
      </c>
      <c r="F29">
        <f>VLOOKUP($C29, published_rates!$A$2:$C$9, 2, FALSE)</f>
        <v>0.33</v>
      </c>
      <c r="G29">
        <f>VLOOKUP($C29, published_rates!$A$2:$C$9, 3, FALSE)</f>
        <v>4.2</v>
      </c>
      <c r="H29">
        <f>VLOOKUP($B29, demand!$A$2:$C$44, 2, FALSE)</f>
        <v>571.88000000000011</v>
      </c>
      <c r="I29">
        <f>VLOOKUP($B29, demand!$A$2:$C$44, 3, FALSE)</f>
        <v>18</v>
      </c>
      <c r="J29" t="str">
        <f>VLOOKUP($B29, distributors!$A$2:$C$44, 2, FALSE)</f>
        <v>Buellton</v>
      </c>
      <c r="K29" t="str">
        <f>VLOOKUP($B29, distributors!$A$2:$C$44, 3, FALSE)</f>
        <v>CA</v>
      </c>
    </row>
    <row r="30" spans="1:11" x14ac:dyDescent="0.2">
      <c r="A30" s="2" t="s">
        <v>57</v>
      </c>
      <c r="B30" s="2">
        <v>93703</v>
      </c>
      <c r="C30" s="2">
        <v>3</v>
      </c>
      <c r="D30">
        <f>VLOOKUP($C30, private_rates!$A$2:$C$9, 2, FALSE)</f>
        <v>0.32</v>
      </c>
      <c r="E30">
        <f>VLOOKUP($C30, private_rates!$A$2:$C$9, 3, FALSE)</f>
        <v>4.3</v>
      </c>
      <c r="F30">
        <f>VLOOKUP($C30, published_rates!$A$2:$C$9, 2, FALSE)</f>
        <v>0.37</v>
      </c>
      <c r="G30">
        <f>VLOOKUP($C30, published_rates!$A$2:$C$9, 3, FALSE)</f>
        <v>4.6500000000000004</v>
      </c>
      <c r="H30">
        <f>VLOOKUP($B30, demand!$A$2:$C$44, 2, FALSE)</f>
        <v>1164.45</v>
      </c>
      <c r="I30">
        <f>VLOOKUP($B30, demand!$A$2:$C$44, 3, FALSE)</f>
        <v>39</v>
      </c>
      <c r="J30" t="str">
        <f>VLOOKUP($B30, distributors!$A$2:$C$44, 2, FALSE)</f>
        <v>Fresno</v>
      </c>
      <c r="K30" t="str">
        <f>VLOOKUP($B30, distributors!$A$2:$C$44, 3, FALSE)</f>
        <v>CA</v>
      </c>
    </row>
    <row r="31" spans="1:11" x14ac:dyDescent="0.2">
      <c r="A31" s="2" t="s">
        <v>57</v>
      </c>
      <c r="B31" s="2">
        <v>93906</v>
      </c>
      <c r="C31" s="2">
        <v>3</v>
      </c>
      <c r="D31">
        <f>VLOOKUP($C31, private_rates!$A$2:$C$9, 2, FALSE)</f>
        <v>0.32</v>
      </c>
      <c r="E31">
        <f>VLOOKUP($C31, private_rates!$A$2:$C$9, 3, FALSE)</f>
        <v>4.3</v>
      </c>
      <c r="F31">
        <f>VLOOKUP($C31, published_rates!$A$2:$C$9, 2, FALSE)</f>
        <v>0.37</v>
      </c>
      <c r="G31">
        <f>VLOOKUP($C31, published_rates!$A$2:$C$9, 3, FALSE)</f>
        <v>4.6500000000000004</v>
      </c>
      <c r="H31">
        <f>VLOOKUP($B31, demand!$A$2:$C$44, 2, FALSE)</f>
        <v>894.16999999999985</v>
      </c>
      <c r="I31">
        <f>VLOOKUP($B31, demand!$A$2:$C$44, 3, FALSE)</f>
        <v>30</v>
      </c>
      <c r="J31" t="str">
        <f>VLOOKUP($B31, distributors!$A$2:$C$44, 2, FALSE)</f>
        <v>Salinas</v>
      </c>
      <c r="K31" t="str">
        <f>VLOOKUP($B31, distributors!$A$2:$C$44, 3, FALSE)</f>
        <v>CA</v>
      </c>
    </row>
    <row r="32" spans="1:11" x14ac:dyDescent="0.2">
      <c r="A32" s="2" t="s">
        <v>57</v>
      </c>
      <c r="B32" s="2">
        <v>94403</v>
      </c>
      <c r="C32" s="2">
        <v>4</v>
      </c>
      <c r="D32">
        <f>VLOOKUP($C32, private_rates!$A$2:$C$9, 2, FALSE)</f>
        <v>0.35</v>
      </c>
      <c r="E32">
        <f>VLOOKUP($C32, private_rates!$A$2:$C$9, 3, FALSE)</f>
        <v>4.6500000000000004</v>
      </c>
      <c r="F32">
        <f>VLOOKUP($C32, published_rates!$A$2:$C$9, 2, FALSE)</f>
        <v>0.41</v>
      </c>
      <c r="G32">
        <f>VLOOKUP($C32, published_rates!$A$2:$C$9, 3, FALSE)</f>
        <v>5</v>
      </c>
      <c r="H32">
        <f>VLOOKUP($B32, demand!$A$2:$C$44, 2, FALSE)</f>
        <v>724.06999999999994</v>
      </c>
      <c r="I32">
        <f>VLOOKUP($B32, demand!$A$2:$C$44, 3, FALSE)</f>
        <v>24</v>
      </c>
      <c r="J32" t="str">
        <f>VLOOKUP($B32, distributors!$A$2:$C$44, 2, FALSE)</f>
        <v>San Mateo</v>
      </c>
      <c r="K32" t="str">
        <f>VLOOKUP($B32, distributors!$A$2:$C$44, 3, FALSE)</f>
        <v>CA</v>
      </c>
    </row>
    <row r="33" spans="1:11" x14ac:dyDescent="0.2">
      <c r="A33" s="2" t="s">
        <v>57</v>
      </c>
      <c r="B33" s="2">
        <v>95051</v>
      </c>
      <c r="C33" s="2">
        <v>3</v>
      </c>
      <c r="D33">
        <f>VLOOKUP($C33, private_rates!$A$2:$C$9, 2, FALSE)</f>
        <v>0.32</v>
      </c>
      <c r="E33">
        <f>VLOOKUP($C33, private_rates!$A$2:$C$9, 3, FALSE)</f>
        <v>4.3</v>
      </c>
      <c r="F33">
        <f>VLOOKUP($C33, published_rates!$A$2:$C$9, 2, FALSE)</f>
        <v>0.37</v>
      </c>
      <c r="G33">
        <f>VLOOKUP($C33, published_rates!$A$2:$C$9, 3, FALSE)</f>
        <v>4.6500000000000004</v>
      </c>
      <c r="H33">
        <f>VLOOKUP($B33, demand!$A$2:$C$44, 2, FALSE)</f>
        <v>806.2600000000001</v>
      </c>
      <c r="I33">
        <f>VLOOKUP($B33, demand!$A$2:$C$44, 3, FALSE)</f>
        <v>26</v>
      </c>
      <c r="J33" t="str">
        <f>VLOOKUP($B33, distributors!$A$2:$C$44, 2, FALSE)</f>
        <v>Santa Clara</v>
      </c>
      <c r="K33" t="str">
        <f>VLOOKUP($B33, distributors!$A$2:$C$44, 3, FALSE)</f>
        <v>CA</v>
      </c>
    </row>
    <row r="34" spans="1:11" x14ac:dyDescent="0.2">
      <c r="A34" s="2" t="s">
        <v>57</v>
      </c>
      <c r="B34" s="2">
        <v>95993</v>
      </c>
      <c r="C34" s="2">
        <v>4</v>
      </c>
      <c r="D34">
        <f>VLOOKUP($C34, private_rates!$A$2:$C$9, 2, FALSE)</f>
        <v>0.35</v>
      </c>
      <c r="E34">
        <f>VLOOKUP($C34, private_rates!$A$2:$C$9, 3, FALSE)</f>
        <v>4.6500000000000004</v>
      </c>
      <c r="F34">
        <f>VLOOKUP($C34, published_rates!$A$2:$C$9, 2, FALSE)</f>
        <v>0.41</v>
      </c>
      <c r="G34">
        <f>VLOOKUP($C34, published_rates!$A$2:$C$9, 3, FALSE)</f>
        <v>5</v>
      </c>
      <c r="H34">
        <f>VLOOKUP($B34, demand!$A$2:$C$44, 2, FALSE)</f>
        <v>783.16</v>
      </c>
      <c r="I34">
        <f>VLOOKUP($B34, demand!$A$2:$C$44, 3, FALSE)</f>
        <v>26</v>
      </c>
      <c r="J34" t="str">
        <f>VLOOKUP($B34, distributors!$A$2:$C$44, 2, FALSE)</f>
        <v>Yuba City</v>
      </c>
      <c r="K34" t="str">
        <f>VLOOKUP($B34, distributors!$A$2:$C$44, 3, FALSE)</f>
        <v>CA</v>
      </c>
    </row>
    <row r="35" spans="1:11" x14ac:dyDescent="0.2">
      <c r="A35" s="2" t="s">
        <v>57</v>
      </c>
      <c r="B35" s="2">
        <v>96130</v>
      </c>
      <c r="C35" s="2">
        <v>4</v>
      </c>
      <c r="D35">
        <f>VLOOKUP($C35, private_rates!$A$2:$C$9, 2, FALSE)</f>
        <v>0.35</v>
      </c>
      <c r="E35">
        <f>VLOOKUP($C35, private_rates!$A$2:$C$9, 3, FALSE)</f>
        <v>4.6500000000000004</v>
      </c>
      <c r="F35">
        <f>VLOOKUP($C35, published_rates!$A$2:$C$9, 2, FALSE)</f>
        <v>0.41</v>
      </c>
      <c r="G35">
        <f>VLOOKUP($C35, published_rates!$A$2:$C$9, 3, FALSE)</f>
        <v>5</v>
      </c>
      <c r="H35">
        <f>VLOOKUP($B35, demand!$A$2:$C$44, 2, FALSE)</f>
        <v>488.46000000000004</v>
      </c>
      <c r="I35">
        <f>VLOOKUP($B35, demand!$A$2:$C$44, 3, FALSE)</f>
        <v>16</v>
      </c>
      <c r="J35" t="str">
        <f>VLOOKUP($B35, distributors!$A$2:$C$44, 2, FALSE)</f>
        <v>Susanville</v>
      </c>
      <c r="K35" t="str">
        <f>VLOOKUP($B35, distributors!$A$2:$C$44, 3, FALSE)</f>
        <v>CA</v>
      </c>
    </row>
    <row r="36" spans="1:11" x14ac:dyDescent="0.2">
      <c r="A36" s="2" t="s">
        <v>57</v>
      </c>
      <c r="B36" s="2">
        <v>97002</v>
      </c>
      <c r="C36" s="2">
        <v>5</v>
      </c>
      <c r="D36">
        <f>VLOOKUP($C36, private_rates!$A$2:$C$9, 2, FALSE)</f>
        <v>0.4</v>
      </c>
      <c r="E36">
        <f>VLOOKUP($C36, private_rates!$A$2:$C$9, 3, FALSE)</f>
        <v>5</v>
      </c>
      <c r="F36">
        <f>VLOOKUP($C36, published_rates!$A$2:$C$9, 2, FALSE)</f>
        <v>0.46</v>
      </c>
      <c r="G36">
        <f>VLOOKUP($C36, published_rates!$A$2:$C$9, 3, FALSE)</f>
        <v>5.4</v>
      </c>
      <c r="H36">
        <f>VLOOKUP($B36, demand!$A$2:$C$44, 2, FALSE)</f>
        <v>665.41999999999985</v>
      </c>
      <c r="I36">
        <f>VLOOKUP($B36, demand!$A$2:$C$44, 3, FALSE)</f>
        <v>22</v>
      </c>
      <c r="J36" t="str">
        <f>VLOOKUP($B36, distributors!$A$2:$C$44, 2, FALSE)</f>
        <v>Aurora</v>
      </c>
      <c r="K36" t="str">
        <f>VLOOKUP($B36, distributors!$A$2:$C$44, 3, FALSE)</f>
        <v>OR</v>
      </c>
    </row>
    <row r="37" spans="1:11" x14ac:dyDescent="0.2">
      <c r="A37" s="2" t="s">
        <v>57</v>
      </c>
      <c r="B37" s="2">
        <v>97524</v>
      </c>
      <c r="C37" s="2">
        <v>4</v>
      </c>
      <c r="D37">
        <f>VLOOKUP($C37, private_rates!$A$2:$C$9, 2, FALSE)</f>
        <v>0.35</v>
      </c>
      <c r="E37">
        <f>VLOOKUP($C37, private_rates!$A$2:$C$9, 3, FALSE)</f>
        <v>4.6500000000000004</v>
      </c>
      <c r="F37">
        <f>VLOOKUP($C37, published_rates!$A$2:$C$9, 2, FALSE)</f>
        <v>0.41</v>
      </c>
      <c r="G37">
        <f>VLOOKUP($C37, published_rates!$A$2:$C$9, 3, FALSE)</f>
        <v>5</v>
      </c>
      <c r="H37">
        <f>VLOOKUP($B37, demand!$A$2:$C$44, 2, FALSE)</f>
        <v>935.86999999999989</v>
      </c>
      <c r="I37">
        <f>VLOOKUP($B37, demand!$A$2:$C$44, 3, FALSE)</f>
        <v>30</v>
      </c>
      <c r="J37" t="str">
        <f>VLOOKUP($B37, distributors!$A$2:$C$44, 2, FALSE)</f>
        <v>Eagle Point</v>
      </c>
      <c r="K37" t="str">
        <f>VLOOKUP($B37, distributors!$A$2:$C$44, 3, FALSE)</f>
        <v>OR</v>
      </c>
    </row>
    <row r="38" spans="1:11" x14ac:dyDescent="0.2">
      <c r="A38" s="2" t="s">
        <v>57</v>
      </c>
      <c r="B38" s="2">
        <v>97862</v>
      </c>
      <c r="C38" s="2">
        <v>5</v>
      </c>
      <c r="D38">
        <f>VLOOKUP($C38, private_rates!$A$2:$C$9, 2, FALSE)</f>
        <v>0.4</v>
      </c>
      <c r="E38">
        <f>VLOOKUP($C38, private_rates!$A$2:$C$9, 3, FALSE)</f>
        <v>5</v>
      </c>
      <c r="F38">
        <f>VLOOKUP($C38, published_rates!$A$2:$C$9, 2, FALSE)</f>
        <v>0.46</v>
      </c>
      <c r="G38">
        <f>VLOOKUP($C38, published_rates!$A$2:$C$9, 3, FALSE)</f>
        <v>5.4</v>
      </c>
      <c r="H38">
        <f>VLOOKUP($B38, demand!$A$2:$C$44, 2, FALSE)</f>
        <v>817.06</v>
      </c>
      <c r="I38">
        <f>VLOOKUP($B38, demand!$A$2:$C$44, 3, FALSE)</f>
        <v>26</v>
      </c>
      <c r="J38" t="str">
        <f>VLOOKUP($B38, distributors!$A$2:$C$44, 2, FALSE)</f>
        <v>Milton Freewater</v>
      </c>
      <c r="K38" t="str">
        <f>VLOOKUP($B38, distributors!$A$2:$C$44, 3, FALSE)</f>
        <v>OR</v>
      </c>
    </row>
    <row r="39" spans="1:11" x14ac:dyDescent="0.2">
      <c r="A39" s="2" t="s">
        <v>57</v>
      </c>
      <c r="B39" s="2">
        <v>97920</v>
      </c>
      <c r="C39" s="2">
        <v>5</v>
      </c>
      <c r="D39">
        <f>VLOOKUP($C39, private_rates!$A$2:$C$9, 2, FALSE)</f>
        <v>0.4</v>
      </c>
      <c r="E39">
        <f>VLOOKUP($C39, private_rates!$A$2:$C$9, 3, FALSE)</f>
        <v>5</v>
      </c>
      <c r="F39">
        <f>VLOOKUP($C39, published_rates!$A$2:$C$9, 2, FALSE)</f>
        <v>0.46</v>
      </c>
      <c r="G39">
        <f>VLOOKUP($C39, published_rates!$A$2:$C$9, 3, FALSE)</f>
        <v>5.4</v>
      </c>
      <c r="H39">
        <f>VLOOKUP($B39, demand!$A$2:$C$44, 2, FALSE)</f>
        <v>546.56999999999994</v>
      </c>
      <c r="I39">
        <f>VLOOKUP($B39, demand!$A$2:$C$44, 3, FALSE)</f>
        <v>16</v>
      </c>
      <c r="J39" t="str">
        <f>VLOOKUP($B39, distributors!$A$2:$C$44, 2, FALSE)</f>
        <v>Westfall</v>
      </c>
      <c r="K39" t="str">
        <f>VLOOKUP($B39, distributors!$A$2:$C$44, 3, FALSE)</f>
        <v>OR</v>
      </c>
    </row>
    <row r="40" spans="1:11" x14ac:dyDescent="0.2">
      <c r="A40" s="2" t="s">
        <v>57</v>
      </c>
      <c r="B40" s="2">
        <v>98059</v>
      </c>
      <c r="C40" s="2">
        <v>5</v>
      </c>
      <c r="D40">
        <f>VLOOKUP($C40, private_rates!$A$2:$C$9, 2, FALSE)</f>
        <v>0.4</v>
      </c>
      <c r="E40">
        <f>VLOOKUP($C40, private_rates!$A$2:$C$9, 3, FALSE)</f>
        <v>5</v>
      </c>
      <c r="F40">
        <f>VLOOKUP($C40, published_rates!$A$2:$C$9, 2, FALSE)</f>
        <v>0.46</v>
      </c>
      <c r="G40">
        <f>VLOOKUP($C40, published_rates!$A$2:$C$9, 3, FALSE)</f>
        <v>5.4</v>
      </c>
      <c r="H40">
        <f>VLOOKUP($B40, demand!$A$2:$C$44, 2, FALSE)</f>
        <v>968.45</v>
      </c>
      <c r="I40">
        <f>VLOOKUP($B40, demand!$A$2:$C$44, 3, FALSE)</f>
        <v>30</v>
      </c>
      <c r="J40" t="str">
        <f>VLOOKUP($B40, distributors!$A$2:$C$44, 2, FALSE)</f>
        <v>Renton</v>
      </c>
      <c r="K40" t="str">
        <f>VLOOKUP($B40, distributors!$A$2:$C$44, 3, FALSE)</f>
        <v>WA</v>
      </c>
    </row>
    <row r="41" spans="1:11" x14ac:dyDescent="0.2">
      <c r="A41" s="2" t="s">
        <v>57</v>
      </c>
      <c r="B41" s="2">
        <v>98248</v>
      </c>
      <c r="C41" s="2">
        <v>5</v>
      </c>
      <c r="D41">
        <f>VLOOKUP($C41, private_rates!$A$2:$C$9, 2, FALSE)</f>
        <v>0.4</v>
      </c>
      <c r="E41">
        <f>VLOOKUP($C41, private_rates!$A$2:$C$9, 3, FALSE)</f>
        <v>5</v>
      </c>
      <c r="F41">
        <f>VLOOKUP($C41, published_rates!$A$2:$C$9, 2, FALSE)</f>
        <v>0.46</v>
      </c>
      <c r="G41">
        <f>VLOOKUP($C41, published_rates!$A$2:$C$9, 3, FALSE)</f>
        <v>5.4</v>
      </c>
      <c r="H41">
        <f>VLOOKUP($B41, demand!$A$2:$C$44, 2, FALSE)</f>
        <v>752.47</v>
      </c>
      <c r="I41">
        <f>VLOOKUP($B41, demand!$A$2:$C$44, 3, FALSE)</f>
        <v>23</v>
      </c>
      <c r="J41" t="str">
        <f>VLOOKUP($B41, distributors!$A$2:$C$44, 2, FALSE)</f>
        <v>Ferndale</v>
      </c>
      <c r="K41" t="str">
        <f>VLOOKUP($B41, distributors!$A$2:$C$44, 3, FALSE)</f>
        <v>WA</v>
      </c>
    </row>
    <row r="42" spans="1:11" x14ac:dyDescent="0.2">
      <c r="A42" s="2" t="s">
        <v>57</v>
      </c>
      <c r="B42" s="2">
        <v>98812</v>
      </c>
      <c r="C42" s="2">
        <v>5</v>
      </c>
      <c r="D42">
        <f>VLOOKUP($C42, private_rates!$A$2:$C$9, 2, FALSE)</f>
        <v>0.4</v>
      </c>
      <c r="E42">
        <f>VLOOKUP($C42, private_rates!$A$2:$C$9, 3, FALSE)</f>
        <v>5</v>
      </c>
      <c r="F42">
        <f>VLOOKUP($C42, published_rates!$A$2:$C$9, 2, FALSE)</f>
        <v>0.46</v>
      </c>
      <c r="G42">
        <f>VLOOKUP($C42, published_rates!$A$2:$C$9, 3, FALSE)</f>
        <v>5.4</v>
      </c>
      <c r="H42">
        <f>VLOOKUP($B42, demand!$A$2:$C$44, 2, FALSE)</f>
        <v>679.12999999999977</v>
      </c>
      <c r="I42">
        <f>VLOOKUP($B42, demand!$A$2:$C$44, 3, FALSE)</f>
        <v>22</v>
      </c>
      <c r="J42" t="str">
        <f>VLOOKUP($B42, distributors!$A$2:$C$44, 2, FALSE)</f>
        <v>Brewster</v>
      </c>
      <c r="K42" t="str">
        <f>VLOOKUP($B42, distributors!$A$2:$C$44, 3, FALSE)</f>
        <v>WA</v>
      </c>
    </row>
    <row r="43" spans="1:11" x14ac:dyDescent="0.2">
      <c r="A43" s="2" t="s">
        <v>57</v>
      </c>
      <c r="B43" s="2">
        <v>99223</v>
      </c>
      <c r="C43" s="2">
        <v>5</v>
      </c>
      <c r="D43">
        <f>VLOOKUP($C43, private_rates!$A$2:$C$9, 2, FALSE)</f>
        <v>0.4</v>
      </c>
      <c r="E43">
        <f>VLOOKUP($C43, private_rates!$A$2:$C$9, 3, FALSE)</f>
        <v>5</v>
      </c>
      <c r="F43">
        <f>VLOOKUP($C43, published_rates!$A$2:$C$9, 2, FALSE)</f>
        <v>0.46</v>
      </c>
      <c r="G43">
        <f>VLOOKUP($C43, published_rates!$A$2:$C$9, 3, FALSE)</f>
        <v>5.4</v>
      </c>
      <c r="H43">
        <f>VLOOKUP($B43, demand!$A$2:$C$44, 2, FALSE)</f>
        <v>669.4</v>
      </c>
      <c r="I43">
        <f>VLOOKUP($B43, demand!$A$2:$C$44, 3, FALSE)</f>
        <v>21</v>
      </c>
      <c r="J43" t="str">
        <f>VLOOKUP($B43, distributors!$A$2:$C$44, 2, FALSE)</f>
        <v>Spokane</v>
      </c>
      <c r="K43" t="str">
        <f>VLOOKUP($B43, distributors!$A$2:$C$44, 3, FALSE)</f>
        <v>WA</v>
      </c>
    </row>
    <row r="44" spans="1:11" x14ac:dyDescent="0.2">
      <c r="A44" s="2" t="s">
        <v>57</v>
      </c>
      <c r="B44" s="2">
        <v>99350</v>
      </c>
      <c r="C44" s="2">
        <v>5</v>
      </c>
      <c r="D44">
        <f>VLOOKUP($C44, private_rates!$A$2:$C$9, 2, FALSE)</f>
        <v>0.4</v>
      </c>
      <c r="E44">
        <f>VLOOKUP($C44, private_rates!$A$2:$C$9, 3, FALSE)</f>
        <v>5</v>
      </c>
      <c r="F44">
        <f>VLOOKUP($C44, published_rates!$A$2:$C$9, 2, FALSE)</f>
        <v>0.46</v>
      </c>
      <c r="G44">
        <f>VLOOKUP($C44, published_rates!$A$2:$C$9, 3, FALSE)</f>
        <v>5.4</v>
      </c>
      <c r="H44">
        <f>VLOOKUP($B44, demand!$A$2:$C$44, 2, FALSE)</f>
        <v>711.80000000000018</v>
      </c>
      <c r="I44">
        <f>VLOOKUP($B44, demand!$A$2:$C$44, 3, FALSE)</f>
        <v>22</v>
      </c>
      <c r="J44" t="str">
        <f>VLOOKUP($B44, distributors!$A$2:$C$44, 2, FALSE)</f>
        <v>Prosser</v>
      </c>
      <c r="K44" t="str">
        <f>VLOOKUP($B44, distributors!$A$2:$C$44, 3, FALSE)</f>
        <v>WA</v>
      </c>
    </row>
    <row r="45" spans="1:11" x14ac:dyDescent="0.2">
      <c r="A45" s="2" t="s">
        <v>58</v>
      </c>
      <c r="B45" s="2">
        <v>59019</v>
      </c>
      <c r="C45" s="2">
        <v>5</v>
      </c>
      <c r="D45">
        <f>VLOOKUP($C45, private_rates!$A$2:$C$9, 2, FALSE)</f>
        <v>0.4</v>
      </c>
      <c r="E45">
        <f>VLOOKUP($C45, private_rates!$A$2:$C$9, 3, FALSE)</f>
        <v>5</v>
      </c>
      <c r="F45">
        <f>VLOOKUP($C45, published_rates!$A$2:$C$9, 2, FALSE)</f>
        <v>0.46</v>
      </c>
      <c r="G45">
        <f>VLOOKUP($C45, published_rates!$A$2:$C$9, 3, FALSE)</f>
        <v>5.4</v>
      </c>
      <c r="H45">
        <f>VLOOKUP($B45, demand!$A$2:$C$44, 2, FALSE)</f>
        <v>779.83999999999992</v>
      </c>
      <c r="I45">
        <f>VLOOKUP($B45, demand!$A$2:$C$44, 3, FALSE)</f>
        <v>30</v>
      </c>
      <c r="J45" t="str">
        <f>VLOOKUP($B45, distributors!$A$2:$C$44, 2, FALSE)</f>
        <v>Columbus</v>
      </c>
      <c r="K45" t="str">
        <f>VLOOKUP($B45, distributors!$A$2:$C$44, 3, FALSE)</f>
        <v>MT</v>
      </c>
    </row>
    <row r="46" spans="1:11" x14ac:dyDescent="0.2">
      <c r="A46" s="2" t="s">
        <v>58</v>
      </c>
      <c r="B46" s="2">
        <v>59634</v>
      </c>
      <c r="C46" s="2">
        <v>4</v>
      </c>
      <c r="D46">
        <f>VLOOKUP($C46, private_rates!$A$2:$C$9, 2, FALSE)</f>
        <v>0.35</v>
      </c>
      <c r="E46">
        <f>VLOOKUP($C46, private_rates!$A$2:$C$9, 3, FALSE)</f>
        <v>4.6500000000000004</v>
      </c>
      <c r="F46">
        <f>VLOOKUP($C46, published_rates!$A$2:$C$9, 2, FALSE)</f>
        <v>0.41</v>
      </c>
      <c r="G46">
        <f>VLOOKUP($C46, published_rates!$A$2:$C$9, 3, FALSE)</f>
        <v>5</v>
      </c>
      <c r="H46">
        <f>VLOOKUP($B46, demand!$A$2:$C$44, 2, FALSE)</f>
        <v>730.32999999999993</v>
      </c>
      <c r="I46">
        <f>VLOOKUP($B46, demand!$A$2:$C$44, 3, FALSE)</f>
        <v>29</v>
      </c>
      <c r="J46" t="str">
        <f>VLOOKUP($B46, distributors!$A$2:$C$44, 2, FALSE)</f>
        <v>Clancy</v>
      </c>
      <c r="K46" t="str">
        <f>VLOOKUP($B46, distributors!$A$2:$C$44, 3, FALSE)</f>
        <v>MT</v>
      </c>
    </row>
    <row r="47" spans="1:11" x14ac:dyDescent="0.2">
      <c r="A47" s="2" t="s">
        <v>58</v>
      </c>
      <c r="B47" s="2">
        <v>59808</v>
      </c>
      <c r="C47" s="2">
        <v>4</v>
      </c>
      <c r="D47">
        <f>VLOOKUP($C47, private_rates!$A$2:$C$9, 2, FALSE)</f>
        <v>0.35</v>
      </c>
      <c r="E47">
        <f>VLOOKUP($C47, private_rates!$A$2:$C$9, 3, FALSE)</f>
        <v>4.6500000000000004</v>
      </c>
      <c r="F47">
        <f>VLOOKUP($C47, published_rates!$A$2:$C$9, 2, FALSE)</f>
        <v>0.41</v>
      </c>
      <c r="G47">
        <f>VLOOKUP($C47, published_rates!$A$2:$C$9, 3, FALSE)</f>
        <v>5</v>
      </c>
      <c r="H47">
        <f>VLOOKUP($B47, demand!$A$2:$C$44, 2, FALSE)</f>
        <v>568.34</v>
      </c>
      <c r="I47">
        <f>VLOOKUP($B47, demand!$A$2:$C$44, 3, FALSE)</f>
        <v>23</v>
      </c>
      <c r="J47" t="str">
        <f>VLOOKUP($B47, distributors!$A$2:$C$44, 2, FALSE)</f>
        <v>Missoula</v>
      </c>
      <c r="K47" t="str">
        <f>VLOOKUP($B47, distributors!$A$2:$C$44, 3, FALSE)</f>
        <v>MT</v>
      </c>
    </row>
    <row r="48" spans="1:11" x14ac:dyDescent="0.2">
      <c r="A48" s="2" t="s">
        <v>58</v>
      </c>
      <c r="B48" s="2">
        <v>81321</v>
      </c>
      <c r="C48" s="2">
        <v>5</v>
      </c>
      <c r="D48">
        <f>VLOOKUP($C48, private_rates!$A$2:$C$9, 2, FALSE)</f>
        <v>0.4</v>
      </c>
      <c r="E48">
        <f>VLOOKUP($C48, private_rates!$A$2:$C$9, 3, FALSE)</f>
        <v>5</v>
      </c>
      <c r="F48">
        <f>VLOOKUP($C48, published_rates!$A$2:$C$9, 2, FALSE)</f>
        <v>0.46</v>
      </c>
      <c r="G48">
        <f>VLOOKUP($C48, published_rates!$A$2:$C$9, 3, FALSE)</f>
        <v>5.4</v>
      </c>
      <c r="H48">
        <f>VLOOKUP($B48, demand!$A$2:$C$44, 2, FALSE)</f>
        <v>759</v>
      </c>
      <c r="I48">
        <f>VLOOKUP($B48, demand!$A$2:$C$44, 3, FALSE)</f>
        <v>32</v>
      </c>
      <c r="J48" t="str">
        <f>VLOOKUP($B48, distributors!$A$2:$C$44, 2, FALSE)</f>
        <v>Cortez</v>
      </c>
      <c r="K48" t="str">
        <f>VLOOKUP($B48, distributors!$A$2:$C$44, 3, FALSE)</f>
        <v>CO</v>
      </c>
    </row>
    <row r="49" spans="1:11" x14ac:dyDescent="0.2">
      <c r="A49" s="2" t="s">
        <v>58</v>
      </c>
      <c r="B49" s="2">
        <v>81416</v>
      </c>
      <c r="C49" s="2">
        <v>5</v>
      </c>
      <c r="D49">
        <f>VLOOKUP($C49, private_rates!$A$2:$C$9, 2, FALSE)</f>
        <v>0.4</v>
      </c>
      <c r="E49">
        <f>VLOOKUP($C49, private_rates!$A$2:$C$9, 3, FALSE)</f>
        <v>5</v>
      </c>
      <c r="F49">
        <f>VLOOKUP($C49, published_rates!$A$2:$C$9, 2, FALSE)</f>
        <v>0.46</v>
      </c>
      <c r="G49">
        <f>VLOOKUP($C49, published_rates!$A$2:$C$9, 3, FALSE)</f>
        <v>5.4</v>
      </c>
      <c r="H49">
        <f>VLOOKUP($B49, demand!$A$2:$C$44, 2, FALSE)</f>
        <v>976.23</v>
      </c>
      <c r="I49">
        <f>VLOOKUP($B49, demand!$A$2:$C$44, 3, FALSE)</f>
        <v>37</v>
      </c>
      <c r="J49" t="str">
        <f>VLOOKUP($B49, distributors!$A$2:$C$44, 2, FALSE)</f>
        <v>Delta</v>
      </c>
      <c r="K49" t="str">
        <f>VLOOKUP($B49, distributors!$A$2:$C$44, 3, FALSE)</f>
        <v>CO</v>
      </c>
    </row>
    <row r="50" spans="1:11" x14ac:dyDescent="0.2">
      <c r="A50" s="2" t="s">
        <v>58</v>
      </c>
      <c r="B50" s="2">
        <v>81504</v>
      </c>
      <c r="C50" s="2">
        <v>5</v>
      </c>
      <c r="D50">
        <f>VLOOKUP($C50, private_rates!$A$2:$C$9, 2, FALSE)</f>
        <v>0.4</v>
      </c>
      <c r="E50">
        <f>VLOOKUP($C50, private_rates!$A$2:$C$9, 3, FALSE)</f>
        <v>5</v>
      </c>
      <c r="F50">
        <f>VLOOKUP($C50, published_rates!$A$2:$C$9, 2, FALSE)</f>
        <v>0.46</v>
      </c>
      <c r="G50">
        <f>VLOOKUP($C50, published_rates!$A$2:$C$9, 3, FALSE)</f>
        <v>5.4</v>
      </c>
      <c r="H50">
        <f>VLOOKUP($B50, demand!$A$2:$C$44, 2, FALSE)</f>
        <v>860.19000000000028</v>
      </c>
      <c r="I50">
        <f>VLOOKUP($B50, demand!$A$2:$C$44, 3, FALSE)</f>
        <v>32</v>
      </c>
      <c r="J50" t="str">
        <f>VLOOKUP($B50, distributors!$A$2:$C$44, 2, FALSE)</f>
        <v>Grand Junction</v>
      </c>
      <c r="K50" t="str">
        <f>VLOOKUP($B50, distributors!$A$2:$C$44, 3, FALSE)</f>
        <v>CO</v>
      </c>
    </row>
    <row r="51" spans="1:11" x14ac:dyDescent="0.2">
      <c r="A51" s="2" t="s">
        <v>58</v>
      </c>
      <c r="B51" s="2">
        <v>81650</v>
      </c>
      <c r="C51" s="2">
        <v>5</v>
      </c>
      <c r="D51">
        <f>VLOOKUP($C51, private_rates!$A$2:$C$9, 2, FALSE)</f>
        <v>0.4</v>
      </c>
      <c r="E51">
        <f>VLOOKUP($C51, private_rates!$A$2:$C$9, 3, FALSE)</f>
        <v>5</v>
      </c>
      <c r="F51">
        <f>VLOOKUP($C51, published_rates!$A$2:$C$9, 2, FALSE)</f>
        <v>0.46</v>
      </c>
      <c r="G51">
        <f>VLOOKUP($C51, published_rates!$A$2:$C$9, 3, FALSE)</f>
        <v>5.4</v>
      </c>
      <c r="H51">
        <f>VLOOKUP($B51, demand!$A$2:$C$44, 2, FALSE)</f>
        <v>585.81000000000006</v>
      </c>
      <c r="I51">
        <f>VLOOKUP($B51, demand!$A$2:$C$44, 3, FALSE)</f>
        <v>22</v>
      </c>
      <c r="J51" t="str">
        <f>VLOOKUP($B51, distributors!$A$2:$C$44, 2, FALSE)</f>
        <v>Rifle</v>
      </c>
      <c r="K51" t="str">
        <f>VLOOKUP($B51, distributors!$A$2:$C$44, 3, FALSE)</f>
        <v>CO</v>
      </c>
    </row>
    <row r="52" spans="1:11" x14ac:dyDescent="0.2">
      <c r="A52" s="2" t="s">
        <v>58</v>
      </c>
      <c r="B52" s="2">
        <v>83014</v>
      </c>
      <c r="C52" s="2">
        <v>5</v>
      </c>
      <c r="D52">
        <f>VLOOKUP($C52, private_rates!$A$2:$C$9, 2, FALSE)</f>
        <v>0.4</v>
      </c>
      <c r="E52">
        <f>VLOOKUP($C52, private_rates!$A$2:$C$9, 3, FALSE)</f>
        <v>5</v>
      </c>
      <c r="F52">
        <f>VLOOKUP($C52, published_rates!$A$2:$C$9, 2, FALSE)</f>
        <v>0.46</v>
      </c>
      <c r="G52">
        <f>VLOOKUP($C52, published_rates!$A$2:$C$9, 3, FALSE)</f>
        <v>5.4</v>
      </c>
      <c r="H52">
        <f>VLOOKUP($B52, demand!$A$2:$C$44, 2, FALSE)</f>
        <v>412.08000000000004</v>
      </c>
      <c r="I52">
        <f>VLOOKUP($B52, demand!$A$2:$C$44, 3, FALSE)</f>
        <v>15</v>
      </c>
      <c r="J52" t="str">
        <f>VLOOKUP($B52, distributors!$A$2:$C$44, 2, FALSE)</f>
        <v>Wilson</v>
      </c>
      <c r="K52" t="str">
        <f>VLOOKUP($B52, distributors!$A$2:$C$44, 3, FALSE)</f>
        <v>WY</v>
      </c>
    </row>
    <row r="53" spans="1:11" x14ac:dyDescent="0.2">
      <c r="A53" s="2" t="s">
        <v>58</v>
      </c>
      <c r="B53" s="2">
        <v>83338</v>
      </c>
      <c r="C53" s="2">
        <v>4</v>
      </c>
      <c r="D53">
        <f>VLOOKUP($C53, private_rates!$A$2:$C$9, 2, FALSE)</f>
        <v>0.35</v>
      </c>
      <c r="E53">
        <f>VLOOKUP($C53, private_rates!$A$2:$C$9, 3, FALSE)</f>
        <v>4.6500000000000004</v>
      </c>
      <c r="F53">
        <f>VLOOKUP($C53, published_rates!$A$2:$C$9, 2, FALSE)</f>
        <v>0.41</v>
      </c>
      <c r="G53">
        <f>VLOOKUP($C53, published_rates!$A$2:$C$9, 3, FALSE)</f>
        <v>5</v>
      </c>
      <c r="H53">
        <f>VLOOKUP($B53, demand!$A$2:$C$44, 2, FALSE)</f>
        <v>546.12999999999988</v>
      </c>
      <c r="I53">
        <f>VLOOKUP($B53, demand!$A$2:$C$44, 3, FALSE)</f>
        <v>21</v>
      </c>
      <c r="J53" t="str">
        <f>VLOOKUP($B53, distributors!$A$2:$C$44, 2, FALSE)</f>
        <v>Jerome</v>
      </c>
      <c r="K53" t="str">
        <f>VLOOKUP($B53, distributors!$A$2:$C$44, 3, FALSE)</f>
        <v>ID</v>
      </c>
    </row>
    <row r="54" spans="1:11" x14ac:dyDescent="0.2">
      <c r="A54" s="2" t="s">
        <v>58</v>
      </c>
      <c r="B54" s="2">
        <v>83544</v>
      </c>
      <c r="C54" s="2">
        <v>4</v>
      </c>
      <c r="D54">
        <f>VLOOKUP($C54, private_rates!$A$2:$C$9, 2, FALSE)</f>
        <v>0.35</v>
      </c>
      <c r="E54">
        <f>VLOOKUP($C54, private_rates!$A$2:$C$9, 3, FALSE)</f>
        <v>4.6500000000000004</v>
      </c>
      <c r="F54">
        <f>VLOOKUP($C54, published_rates!$A$2:$C$9, 2, FALSE)</f>
        <v>0.41</v>
      </c>
      <c r="G54">
        <f>VLOOKUP($C54, published_rates!$A$2:$C$9, 3, FALSE)</f>
        <v>5</v>
      </c>
      <c r="H54">
        <f>VLOOKUP($B54, demand!$A$2:$C$44, 2, FALSE)</f>
        <v>599.47</v>
      </c>
      <c r="I54">
        <f>VLOOKUP($B54, demand!$A$2:$C$44, 3, FALSE)</f>
        <v>22</v>
      </c>
      <c r="J54" t="str">
        <f>VLOOKUP($B54, distributors!$A$2:$C$44, 2, FALSE)</f>
        <v>Orofino</v>
      </c>
      <c r="K54" t="str">
        <f>VLOOKUP($B54, distributors!$A$2:$C$44, 3, FALSE)</f>
        <v>ID</v>
      </c>
    </row>
    <row r="55" spans="1:11" x14ac:dyDescent="0.2">
      <c r="A55" s="2" t="s">
        <v>58</v>
      </c>
      <c r="B55" s="2">
        <v>83638</v>
      </c>
      <c r="C55" s="2">
        <v>4</v>
      </c>
      <c r="D55">
        <f>VLOOKUP($C55, private_rates!$A$2:$C$9, 2, FALSE)</f>
        <v>0.35</v>
      </c>
      <c r="E55">
        <f>VLOOKUP($C55, private_rates!$A$2:$C$9, 3, FALSE)</f>
        <v>4.6500000000000004</v>
      </c>
      <c r="F55">
        <f>VLOOKUP($C55, published_rates!$A$2:$C$9, 2, FALSE)</f>
        <v>0.41</v>
      </c>
      <c r="G55">
        <f>VLOOKUP($C55, published_rates!$A$2:$C$9, 3, FALSE)</f>
        <v>5</v>
      </c>
      <c r="H55">
        <f>VLOOKUP($B55, demand!$A$2:$C$44, 2, FALSE)</f>
        <v>853.4100000000002</v>
      </c>
      <c r="I55">
        <f>VLOOKUP($B55, demand!$A$2:$C$44, 3, FALSE)</f>
        <v>30</v>
      </c>
      <c r="J55" t="str">
        <f>VLOOKUP($B55, distributors!$A$2:$C$44, 2, FALSE)</f>
        <v>McCall</v>
      </c>
      <c r="K55" t="str">
        <f>VLOOKUP($B55, distributors!$A$2:$C$44, 3, FALSE)</f>
        <v>ID</v>
      </c>
    </row>
    <row r="56" spans="1:11" x14ac:dyDescent="0.2">
      <c r="A56" s="2" t="s">
        <v>58</v>
      </c>
      <c r="B56" s="2">
        <v>83706</v>
      </c>
      <c r="C56" s="2">
        <v>4</v>
      </c>
      <c r="D56">
        <f>VLOOKUP($C56, private_rates!$A$2:$C$9, 2, FALSE)</f>
        <v>0.35</v>
      </c>
      <c r="E56">
        <f>VLOOKUP($C56, private_rates!$A$2:$C$9, 3, FALSE)</f>
        <v>4.6500000000000004</v>
      </c>
      <c r="F56">
        <f>VLOOKUP($C56, published_rates!$A$2:$C$9, 2, FALSE)</f>
        <v>0.41</v>
      </c>
      <c r="G56">
        <f>VLOOKUP($C56, published_rates!$A$2:$C$9, 3, FALSE)</f>
        <v>5</v>
      </c>
      <c r="H56">
        <f>VLOOKUP($B56, demand!$A$2:$C$44, 2, FALSE)</f>
        <v>518.5200000000001</v>
      </c>
      <c r="I56">
        <f>VLOOKUP($B56, demand!$A$2:$C$44, 3, FALSE)</f>
        <v>18</v>
      </c>
      <c r="J56" t="str">
        <f>VLOOKUP($B56, distributors!$A$2:$C$44, 2, FALSE)</f>
        <v>Boise</v>
      </c>
      <c r="K56" t="str">
        <f>VLOOKUP($B56, distributors!$A$2:$C$44, 3, FALSE)</f>
        <v>ID</v>
      </c>
    </row>
    <row r="57" spans="1:11" x14ac:dyDescent="0.2">
      <c r="A57" s="2" t="s">
        <v>58</v>
      </c>
      <c r="B57" s="2">
        <v>84003</v>
      </c>
      <c r="C57" s="2">
        <v>5</v>
      </c>
      <c r="D57">
        <f>VLOOKUP($C57, private_rates!$A$2:$C$9, 2, FALSE)</f>
        <v>0.4</v>
      </c>
      <c r="E57">
        <f>VLOOKUP($C57, private_rates!$A$2:$C$9, 3, FALSE)</f>
        <v>5</v>
      </c>
      <c r="F57">
        <f>VLOOKUP($C57, published_rates!$A$2:$C$9, 2, FALSE)</f>
        <v>0.46</v>
      </c>
      <c r="G57">
        <f>VLOOKUP($C57, published_rates!$A$2:$C$9, 3, FALSE)</f>
        <v>5.4</v>
      </c>
      <c r="H57">
        <f>VLOOKUP($B57, demand!$A$2:$C$44, 2, FALSE)</f>
        <v>706.61</v>
      </c>
      <c r="I57">
        <f>VLOOKUP($B57, demand!$A$2:$C$44, 3, FALSE)</f>
        <v>25</v>
      </c>
      <c r="J57" t="str">
        <f>VLOOKUP($B57, distributors!$A$2:$C$44, 2, FALSE)</f>
        <v>American Fork</v>
      </c>
      <c r="K57" t="str">
        <f>VLOOKUP($B57, distributors!$A$2:$C$44, 3, FALSE)</f>
        <v>UT</v>
      </c>
    </row>
    <row r="58" spans="1:11" x14ac:dyDescent="0.2">
      <c r="A58" s="2" t="s">
        <v>58</v>
      </c>
      <c r="B58" s="2">
        <v>84414</v>
      </c>
      <c r="C58" s="2">
        <v>5</v>
      </c>
      <c r="D58">
        <f>VLOOKUP($C58, private_rates!$A$2:$C$9, 2, FALSE)</f>
        <v>0.4</v>
      </c>
      <c r="E58">
        <f>VLOOKUP($C58, private_rates!$A$2:$C$9, 3, FALSE)</f>
        <v>5</v>
      </c>
      <c r="F58">
        <f>VLOOKUP($C58, published_rates!$A$2:$C$9, 2, FALSE)</f>
        <v>0.46</v>
      </c>
      <c r="G58">
        <f>VLOOKUP($C58, published_rates!$A$2:$C$9, 3, FALSE)</f>
        <v>5.4</v>
      </c>
      <c r="H58">
        <f>VLOOKUP($B58, demand!$A$2:$C$44, 2, FALSE)</f>
        <v>613.67000000000007</v>
      </c>
      <c r="I58">
        <f>VLOOKUP($B58, demand!$A$2:$C$44, 3, FALSE)</f>
        <v>22</v>
      </c>
      <c r="J58" t="str">
        <f>VLOOKUP($B58, distributors!$A$2:$C$44, 2, FALSE)</f>
        <v>Ogden</v>
      </c>
      <c r="K58" t="str">
        <f>VLOOKUP($B58, distributors!$A$2:$C$44, 3, FALSE)</f>
        <v>UT</v>
      </c>
    </row>
    <row r="59" spans="1:11" x14ac:dyDescent="0.2">
      <c r="A59" s="2" t="s">
        <v>58</v>
      </c>
      <c r="B59" s="2">
        <v>84532</v>
      </c>
      <c r="C59" s="2">
        <v>5</v>
      </c>
      <c r="D59">
        <f>VLOOKUP($C59, private_rates!$A$2:$C$9, 2, FALSE)</f>
        <v>0.4</v>
      </c>
      <c r="E59">
        <f>VLOOKUP($C59, private_rates!$A$2:$C$9, 3, FALSE)</f>
        <v>5</v>
      </c>
      <c r="F59">
        <f>VLOOKUP($C59, published_rates!$A$2:$C$9, 2, FALSE)</f>
        <v>0.46</v>
      </c>
      <c r="G59">
        <f>VLOOKUP($C59, published_rates!$A$2:$C$9, 3, FALSE)</f>
        <v>5.4</v>
      </c>
      <c r="H59">
        <f>VLOOKUP($B59, demand!$A$2:$C$44, 2, FALSE)</f>
        <v>339.5</v>
      </c>
      <c r="I59">
        <f>VLOOKUP($B59, demand!$A$2:$C$44, 3, FALSE)</f>
        <v>11</v>
      </c>
      <c r="J59" t="str">
        <f>VLOOKUP($B59, distributors!$A$2:$C$44, 2, FALSE)</f>
        <v>Moab</v>
      </c>
      <c r="K59" t="str">
        <f>VLOOKUP($B59, distributors!$A$2:$C$44, 3, FALSE)</f>
        <v>UT</v>
      </c>
    </row>
    <row r="60" spans="1:11" x14ac:dyDescent="0.2">
      <c r="A60" s="2" t="s">
        <v>58</v>
      </c>
      <c r="B60" s="2">
        <v>84780</v>
      </c>
      <c r="C60" s="2">
        <v>5</v>
      </c>
      <c r="D60">
        <f>VLOOKUP($C60, private_rates!$A$2:$C$9, 2, FALSE)</f>
        <v>0.4</v>
      </c>
      <c r="E60">
        <f>VLOOKUP($C60, private_rates!$A$2:$C$9, 3, FALSE)</f>
        <v>5</v>
      </c>
      <c r="F60">
        <f>VLOOKUP($C60, published_rates!$A$2:$C$9, 2, FALSE)</f>
        <v>0.46</v>
      </c>
      <c r="G60">
        <f>VLOOKUP($C60, published_rates!$A$2:$C$9, 3, FALSE)</f>
        <v>5.4</v>
      </c>
      <c r="H60">
        <f>VLOOKUP($B60, demand!$A$2:$C$44, 2, FALSE)</f>
        <v>648.88</v>
      </c>
      <c r="I60">
        <f>VLOOKUP($B60, demand!$A$2:$C$44, 3, FALSE)</f>
        <v>22</v>
      </c>
      <c r="J60" t="str">
        <f>VLOOKUP($B60, distributors!$A$2:$C$44, 2, FALSE)</f>
        <v>Washington</v>
      </c>
      <c r="K60" t="str">
        <f>VLOOKUP($B60, distributors!$A$2:$C$44, 3, FALSE)</f>
        <v>UT</v>
      </c>
    </row>
    <row r="61" spans="1:11" x14ac:dyDescent="0.2">
      <c r="A61" s="2" t="s">
        <v>58</v>
      </c>
      <c r="B61" s="2">
        <v>85012</v>
      </c>
      <c r="C61" s="2">
        <v>5</v>
      </c>
      <c r="D61">
        <f>VLOOKUP($C61, private_rates!$A$2:$C$9, 2, FALSE)</f>
        <v>0.4</v>
      </c>
      <c r="E61">
        <f>VLOOKUP($C61, private_rates!$A$2:$C$9, 3, FALSE)</f>
        <v>5</v>
      </c>
      <c r="F61">
        <f>VLOOKUP($C61, published_rates!$A$2:$C$9, 2, FALSE)</f>
        <v>0.46</v>
      </c>
      <c r="G61">
        <f>VLOOKUP($C61, published_rates!$A$2:$C$9, 3, FALSE)</f>
        <v>5.4</v>
      </c>
      <c r="H61">
        <f>VLOOKUP($B61, demand!$A$2:$C$44, 2, FALSE)</f>
        <v>685.8499999999998</v>
      </c>
      <c r="I61">
        <f>VLOOKUP($B61, demand!$A$2:$C$44, 3, FALSE)</f>
        <v>25</v>
      </c>
      <c r="J61" t="str">
        <f>VLOOKUP($B61, distributors!$A$2:$C$44, 2, FALSE)</f>
        <v>Phoeniz</v>
      </c>
      <c r="K61" t="str">
        <f>VLOOKUP($B61, distributors!$A$2:$C$44, 3, FALSE)</f>
        <v>AZ</v>
      </c>
    </row>
    <row r="62" spans="1:11" x14ac:dyDescent="0.2">
      <c r="A62" s="2" t="s">
        <v>58</v>
      </c>
      <c r="B62" s="2">
        <v>86004</v>
      </c>
      <c r="C62" s="2">
        <v>5</v>
      </c>
      <c r="D62">
        <f>VLOOKUP($C62, private_rates!$A$2:$C$9, 2, FALSE)</f>
        <v>0.4</v>
      </c>
      <c r="E62">
        <f>VLOOKUP($C62, private_rates!$A$2:$C$9, 3, FALSE)</f>
        <v>5</v>
      </c>
      <c r="F62">
        <f>VLOOKUP($C62, published_rates!$A$2:$C$9, 2, FALSE)</f>
        <v>0.46</v>
      </c>
      <c r="G62">
        <f>VLOOKUP($C62, published_rates!$A$2:$C$9, 3, FALSE)</f>
        <v>5.4</v>
      </c>
      <c r="H62">
        <f>VLOOKUP($B62, demand!$A$2:$C$44, 2, FALSE)</f>
        <v>654.43000000000006</v>
      </c>
      <c r="I62">
        <f>VLOOKUP($B62, demand!$A$2:$C$44, 3, FALSE)</f>
        <v>24</v>
      </c>
      <c r="J62" t="str">
        <f>VLOOKUP($B62, distributors!$A$2:$C$44, 2, FALSE)</f>
        <v>Flagstaff</v>
      </c>
      <c r="K62" t="str">
        <f>VLOOKUP($B62, distributors!$A$2:$C$44, 3, FALSE)</f>
        <v>AZ</v>
      </c>
    </row>
    <row r="63" spans="1:11" x14ac:dyDescent="0.2">
      <c r="A63" s="2" t="s">
        <v>58</v>
      </c>
      <c r="B63" s="2">
        <v>86042</v>
      </c>
      <c r="C63" s="2">
        <v>5</v>
      </c>
      <c r="D63">
        <f>VLOOKUP($C63, private_rates!$A$2:$C$9, 2, FALSE)</f>
        <v>0.4</v>
      </c>
      <c r="E63">
        <f>VLOOKUP($C63, private_rates!$A$2:$C$9, 3, FALSE)</f>
        <v>5</v>
      </c>
      <c r="F63">
        <f>VLOOKUP($C63, published_rates!$A$2:$C$9, 2, FALSE)</f>
        <v>0.46</v>
      </c>
      <c r="G63">
        <f>VLOOKUP($C63, published_rates!$A$2:$C$9, 3, FALSE)</f>
        <v>5.4</v>
      </c>
      <c r="H63">
        <f>VLOOKUP($B63, demand!$A$2:$C$44, 2, FALSE)</f>
        <v>522.40000000000009</v>
      </c>
      <c r="I63">
        <f>VLOOKUP($B63, demand!$A$2:$C$44, 3, FALSE)</f>
        <v>18</v>
      </c>
      <c r="J63" t="str">
        <f>VLOOKUP($B63, distributors!$A$2:$C$44, 2, FALSE)</f>
        <v>Polacca</v>
      </c>
      <c r="K63" t="str">
        <f>VLOOKUP($B63, distributors!$A$2:$C$44, 3, FALSE)</f>
        <v>AZ</v>
      </c>
    </row>
    <row r="64" spans="1:11" x14ac:dyDescent="0.2">
      <c r="A64" s="2" t="s">
        <v>58</v>
      </c>
      <c r="B64" s="2">
        <v>86314</v>
      </c>
      <c r="C64" s="2">
        <v>5</v>
      </c>
      <c r="D64">
        <f>VLOOKUP($C64, private_rates!$A$2:$C$9, 2, FALSE)</f>
        <v>0.4</v>
      </c>
      <c r="E64">
        <f>VLOOKUP($C64, private_rates!$A$2:$C$9, 3, FALSE)</f>
        <v>5</v>
      </c>
      <c r="F64">
        <f>VLOOKUP($C64, published_rates!$A$2:$C$9, 2, FALSE)</f>
        <v>0.46</v>
      </c>
      <c r="G64">
        <f>VLOOKUP($C64, published_rates!$A$2:$C$9, 3, FALSE)</f>
        <v>5.4</v>
      </c>
      <c r="H64">
        <f>VLOOKUP($B64, demand!$A$2:$C$44, 2, FALSE)</f>
        <v>788.67000000000019</v>
      </c>
      <c r="I64">
        <f>VLOOKUP($B64, demand!$A$2:$C$44, 3, FALSE)</f>
        <v>27</v>
      </c>
      <c r="J64" t="str">
        <f>VLOOKUP($B64, distributors!$A$2:$C$44, 2, FALSE)</f>
        <v>Prescott Valley</v>
      </c>
      <c r="K64" t="str">
        <f>VLOOKUP($B64, distributors!$A$2:$C$44, 3, FALSE)</f>
        <v>AZ</v>
      </c>
    </row>
    <row r="65" spans="1:11" x14ac:dyDescent="0.2">
      <c r="A65" s="2" t="s">
        <v>58</v>
      </c>
      <c r="B65" s="2">
        <v>86426</v>
      </c>
      <c r="C65" s="2">
        <v>5</v>
      </c>
      <c r="D65">
        <f>VLOOKUP($C65, private_rates!$A$2:$C$9, 2, FALSE)</f>
        <v>0.4</v>
      </c>
      <c r="E65">
        <f>VLOOKUP($C65, private_rates!$A$2:$C$9, 3, FALSE)</f>
        <v>5</v>
      </c>
      <c r="F65">
        <f>VLOOKUP($C65, published_rates!$A$2:$C$9, 2, FALSE)</f>
        <v>0.46</v>
      </c>
      <c r="G65">
        <f>VLOOKUP($C65, published_rates!$A$2:$C$9, 3, FALSE)</f>
        <v>5.4</v>
      </c>
      <c r="H65">
        <f>VLOOKUP($B65, demand!$A$2:$C$44, 2, FALSE)</f>
        <v>743.05000000000007</v>
      </c>
      <c r="I65">
        <f>VLOOKUP($B65, demand!$A$2:$C$44, 3, FALSE)</f>
        <v>26</v>
      </c>
      <c r="J65" t="str">
        <f>VLOOKUP($B65, distributors!$A$2:$C$44, 2, FALSE)</f>
        <v>Fort Mohave</v>
      </c>
      <c r="K65" t="str">
        <f>VLOOKUP($B65, distributors!$A$2:$C$44, 3, FALSE)</f>
        <v>AZ</v>
      </c>
    </row>
    <row r="66" spans="1:11" x14ac:dyDescent="0.2">
      <c r="A66" s="2" t="s">
        <v>58</v>
      </c>
      <c r="B66" s="2">
        <v>89104</v>
      </c>
      <c r="C66" s="2">
        <v>5</v>
      </c>
      <c r="D66">
        <f>VLOOKUP($C66, private_rates!$A$2:$C$9, 2, FALSE)</f>
        <v>0.4</v>
      </c>
      <c r="E66">
        <f>VLOOKUP($C66, private_rates!$A$2:$C$9, 3, FALSE)</f>
        <v>5</v>
      </c>
      <c r="F66">
        <f>VLOOKUP($C66, published_rates!$A$2:$C$9, 2, FALSE)</f>
        <v>0.46</v>
      </c>
      <c r="G66">
        <f>VLOOKUP($C66, published_rates!$A$2:$C$9, 3, FALSE)</f>
        <v>5.4</v>
      </c>
      <c r="H66">
        <f>VLOOKUP($B66, demand!$A$2:$C$44, 2, FALSE)</f>
        <v>1033.9699999999998</v>
      </c>
      <c r="I66">
        <f>VLOOKUP($B66, demand!$A$2:$C$44, 3, FALSE)</f>
        <v>34</v>
      </c>
      <c r="J66" t="str">
        <f>VLOOKUP($B66, distributors!$A$2:$C$44, 2, FALSE)</f>
        <v>Las Vegas</v>
      </c>
      <c r="K66" t="str">
        <f>VLOOKUP($B66, distributors!$A$2:$C$44, 3, FALSE)</f>
        <v>NV</v>
      </c>
    </row>
    <row r="67" spans="1:11" x14ac:dyDescent="0.2">
      <c r="A67" s="2" t="s">
        <v>58</v>
      </c>
      <c r="B67" s="2">
        <v>89408</v>
      </c>
      <c r="C67" s="2">
        <v>4</v>
      </c>
      <c r="D67">
        <f>VLOOKUP($C67, private_rates!$A$2:$C$9, 2, FALSE)</f>
        <v>0.35</v>
      </c>
      <c r="E67">
        <f>VLOOKUP($C67, private_rates!$A$2:$C$9, 3, FALSE)</f>
        <v>4.6500000000000004</v>
      </c>
      <c r="F67">
        <f>VLOOKUP($C67, published_rates!$A$2:$C$9, 2, FALSE)</f>
        <v>0.41</v>
      </c>
      <c r="G67">
        <f>VLOOKUP($C67, published_rates!$A$2:$C$9, 3, FALSE)</f>
        <v>5</v>
      </c>
      <c r="H67">
        <f>VLOOKUP($B67, demand!$A$2:$C$44, 2, FALSE)</f>
        <v>664.08</v>
      </c>
      <c r="I67">
        <f>VLOOKUP($B67, demand!$A$2:$C$44, 3, FALSE)</f>
        <v>22</v>
      </c>
      <c r="J67" t="str">
        <f>VLOOKUP($B67, distributors!$A$2:$C$44, 2, FALSE)</f>
        <v>Fernley</v>
      </c>
      <c r="K67" t="str">
        <f>VLOOKUP($B67, distributors!$A$2:$C$44, 3, FALSE)</f>
        <v>NV</v>
      </c>
    </row>
    <row r="68" spans="1:11" x14ac:dyDescent="0.2">
      <c r="A68" s="2" t="s">
        <v>58</v>
      </c>
      <c r="B68" s="2">
        <v>89509</v>
      </c>
      <c r="C68" s="2">
        <v>4</v>
      </c>
      <c r="D68">
        <f>VLOOKUP($C68, private_rates!$A$2:$C$9, 2, FALSE)</f>
        <v>0.35</v>
      </c>
      <c r="E68">
        <f>VLOOKUP($C68, private_rates!$A$2:$C$9, 3, FALSE)</f>
        <v>4.6500000000000004</v>
      </c>
      <c r="F68">
        <f>VLOOKUP($C68, published_rates!$A$2:$C$9, 2, FALSE)</f>
        <v>0.41</v>
      </c>
      <c r="G68">
        <f>VLOOKUP($C68, published_rates!$A$2:$C$9, 3, FALSE)</f>
        <v>5</v>
      </c>
      <c r="H68">
        <f>VLOOKUP($B68, demand!$A$2:$C$44, 2, FALSE)</f>
        <v>707.57</v>
      </c>
      <c r="I68">
        <f>VLOOKUP($B68, demand!$A$2:$C$44, 3, FALSE)</f>
        <v>24</v>
      </c>
      <c r="J68" t="str">
        <f>VLOOKUP($B68, distributors!$A$2:$C$44, 2, FALSE)</f>
        <v>Reno</v>
      </c>
      <c r="K68" t="str">
        <f>VLOOKUP($B68, distributors!$A$2:$C$44, 3, FALSE)</f>
        <v>NV</v>
      </c>
    </row>
    <row r="69" spans="1:11" x14ac:dyDescent="0.2">
      <c r="A69" s="2" t="s">
        <v>58</v>
      </c>
      <c r="B69" s="2">
        <v>89822</v>
      </c>
      <c r="C69" s="2">
        <v>4</v>
      </c>
      <c r="D69">
        <f>VLOOKUP($C69, private_rates!$A$2:$C$9, 2, FALSE)</f>
        <v>0.35</v>
      </c>
      <c r="E69">
        <f>VLOOKUP($C69, private_rates!$A$2:$C$9, 3, FALSE)</f>
        <v>4.6500000000000004</v>
      </c>
      <c r="F69">
        <f>VLOOKUP($C69, published_rates!$A$2:$C$9, 2, FALSE)</f>
        <v>0.41</v>
      </c>
      <c r="G69">
        <f>VLOOKUP($C69, published_rates!$A$2:$C$9, 3, FALSE)</f>
        <v>5</v>
      </c>
      <c r="H69">
        <f>VLOOKUP($B69, demand!$A$2:$C$44, 2, FALSE)</f>
        <v>449.57000000000005</v>
      </c>
      <c r="I69">
        <f>VLOOKUP($B69, demand!$A$2:$C$44, 3, FALSE)</f>
        <v>15</v>
      </c>
      <c r="J69" t="str">
        <f>VLOOKUP($B69, distributors!$A$2:$C$44, 2, FALSE)</f>
        <v>Carlin</v>
      </c>
      <c r="K69" t="str">
        <f>VLOOKUP($B69, distributors!$A$2:$C$44, 3, FALSE)</f>
        <v>NV</v>
      </c>
    </row>
    <row r="70" spans="1:11" x14ac:dyDescent="0.2">
      <c r="A70" s="2" t="s">
        <v>58</v>
      </c>
      <c r="B70" s="2">
        <v>90061</v>
      </c>
      <c r="C70" s="2">
        <v>5</v>
      </c>
      <c r="D70">
        <f>VLOOKUP($C70, private_rates!$A$2:$C$9, 2, FALSE)</f>
        <v>0.4</v>
      </c>
      <c r="E70">
        <f>VLOOKUP($C70, private_rates!$A$2:$C$9, 3, FALSE)</f>
        <v>5</v>
      </c>
      <c r="F70">
        <f>VLOOKUP($C70, published_rates!$A$2:$C$9, 2, FALSE)</f>
        <v>0.46</v>
      </c>
      <c r="G70">
        <f>VLOOKUP($C70, published_rates!$A$2:$C$9, 3, FALSE)</f>
        <v>5.4</v>
      </c>
      <c r="H70">
        <f>VLOOKUP($B70, demand!$A$2:$C$44, 2, FALSE)</f>
        <v>1106.2900000000002</v>
      </c>
      <c r="I70">
        <f>VLOOKUP($B70, demand!$A$2:$C$44, 3, FALSE)</f>
        <v>38</v>
      </c>
      <c r="J70" t="str">
        <f>VLOOKUP($B70, distributors!$A$2:$C$44, 2, FALSE)</f>
        <v>Los Angeles</v>
      </c>
      <c r="K70" t="str">
        <f>VLOOKUP($B70, distributors!$A$2:$C$44, 3, FALSE)</f>
        <v>CA</v>
      </c>
    </row>
    <row r="71" spans="1:11" x14ac:dyDescent="0.2">
      <c r="A71" s="2" t="s">
        <v>58</v>
      </c>
      <c r="B71" s="2">
        <v>93030</v>
      </c>
      <c r="C71" s="2">
        <v>5</v>
      </c>
      <c r="D71">
        <f>VLOOKUP($C71, private_rates!$A$2:$C$9, 2, FALSE)</f>
        <v>0.4</v>
      </c>
      <c r="E71">
        <f>VLOOKUP($C71, private_rates!$A$2:$C$9, 3, FALSE)</f>
        <v>5</v>
      </c>
      <c r="F71">
        <f>VLOOKUP($C71, published_rates!$A$2:$C$9, 2, FALSE)</f>
        <v>0.46</v>
      </c>
      <c r="G71">
        <f>VLOOKUP($C71, published_rates!$A$2:$C$9, 3, FALSE)</f>
        <v>5.4</v>
      </c>
      <c r="H71">
        <f>VLOOKUP($B71, demand!$A$2:$C$44, 2, FALSE)</f>
        <v>716.37</v>
      </c>
      <c r="I71">
        <f>VLOOKUP($B71, demand!$A$2:$C$44, 3, FALSE)</f>
        <v>25</v>
      </c>
      <c r="J71" t="str">
        <f>VLOOKUP($B71, distributors!$A$2:$C$44, 2, FALSE)</f>
        <v>Oxnard</v>
      </c>
      <c r="K71" t="str">
        <f>VLOOKUP($B71, distributors!$A$2:$C$44, 3, FALSE)</f>
        <v>CA</v>
      </c>
    </row>
    <row r="72" spans="1:11" x14ac:dyDescent="0.2">
      <c r="A72" s="2" t="s">
        <v>58</v>
      </c>
      <c r="B72" s="2">
        <v>93427</v>
      </c>
      <c r="C72" s="2">
        <v>5</v>
      </c>
      <c r="D72">
        <f>VLOOKUP($C72, private_rates!$A$2:$C$9, 2, FALSE)</f>
        <v>0.4</v>
      </c>
      <c r="E72">
        <f>VLOOKUP($C72, private_rates!$A$2:$C$9, 3, FALSE)</f>
        <v>5</v>
      </c>
      <c r="F72">
        <f>VLOOKUP($C72, published_rates!$A$2:$C$9, 2, FALSE)</f>
        <v>0.46</v>
      </c>
      <c r="G72">
        <f>VLOOKUP($C72, published_rates!$A$2:$C$9, 3, FALSE)</f>
        <v>5.4</v>
      </c>
      <c r="H72">
        <f>VLOOKUP($B72, demand!$A$2:$C$44, 2, FALSE)</f>
        <v>571.88000000000011</v>
      </c>
      <c r="I72">
        <f>VLOOKUP($B72, demand!$A$2:$C$44, 3, FALSE)</f>
        <v>18</v>
      </c>
      <c r="J72" t="str">
        <f>VLOOKUP($B72, distributors!$A$2:$C$44, 2, FALSE)</f>
        <v>Buellton</v>
      </c>
      <c r="K72" t="str">
        <f>VLOOKUP($B72, distributors!$A$2:$C$44, 3, FALSE)</f>
        <v>CA</v>
      </c>
    </row>
    <row r="73" spans="1:11" x14ac:dyDescent="0.2">
      <c r="A73" s="2" t="s">
        <v>58</v>
      </c>
      <c r="B73" s="2">
        <v>93703</v>
      </c>
      <c r="C73" s="2">
        <v>4</v>
      </c>
      <c r="D73">
        <f>VLOOKUP($C73, private_rates!$A$2:$C$9, 2, FALSE)</f>
        <v>0.35</v>
      </c>
      <c r="E73">
        <f>VLOOKUP($C73, private_rates!$A$2:$C$9, 3, FALSE)</f>
        <v>4.6500000000000004</v>
      </c>
      <c r="F73">
        <f>VLOOKUP($C73, published_rates!$A$2:$C$9, 2, FALSE)</f>
        <v>0.41</v>
      </c>
      <c r="G73">
        <f>VLOOKUP($C73, published_rates!$A$2:$C$9, 3, FALSE)</f>
        <v>5</v>
      </c>
      <c r="H73">
        <f>VLOOKUP($B73, demand!$A$2:$C$44, 2, FALSE)</f>
        <v>1164.45</v>
      </c>
      <c r="I73">
        <f>VLOOKUP($B73, demand!$A$2:$C$44, 3, FALSE)</f>
        <v>39</v>
      </c>
      <c r="J73" t="str">
        <f>VLOOKUP($B73, distributors!$A$2:$C$44, 2, FALSE)</f>
        <v>Fresno</v>
      </c>
      <c r="K73" t="str">
        <f>VLOOKUP($B73, distributors!$A$2:$C$44, 3, FALSE)</f>
        <v>CA</v>
      </c>
    </row>
    <row r="74" spans="1:11" x14ac:dyDescent="0.2">
      <c r="A74" s="2" t="s">
        <v>58</v>
      </c>
      <c r="B74" s="2">
        <v>93906</v>
      </c>
      <c r="C74" s="2">
        <v>4</v>
      </c>
      <c r="D74">
        <f>VLOOKUP($C74, private_rates!$A$2:$C$9, 2, FALSE)</f>
        <v>0.35</v>
      </c>
      <c r="E74">
        <f>VLOOKUP($C74, private_rates!$A$2:$C$9, 3, FALSE)</f>
        <v>4.6500000000000004</v>
      </c>
      <c r="F74">
        <f>VLOOKUP($C74, published_rates!$A$2:$C$9, 2, FALSE)</f>
        <v>0.41</v>
      </c>
      <c r="G74">
        <f>VLOOKUP($C74, published_rates!$A$2:$C$9, 3, FALSE)</f>
        <v>5</v>
      </c>
      <c r="H74">
        <f>VLOOKUP($B74, demand!$A$2:$C$44, 2, FALSE)</f>
        <v>894.16999999999985</v>
      </c>
      <c r="I74">
        <f>VLOOKUP($B74, demand!$A$2:$C$44, 3, FALSE)</f>
        <v>30</v>
      </c>
      <c r="J74" t="str">
        <f>VLOOKUP($B74, distributors!$A$2:$C$44, 2, FALSE)</f>
        <v>Salinas</v>
      </c>
      <c r="K74" t="str">
        <f>VLOOKUP($B74, distributors!$A$2:$C$44, 3, FALSE)</f>
        <v>CA</v>
      </c>
    </row>
    <row r="75" spans="1:11" x14ac:dyDescent="0.2">
      <c r="A75" s="2" t="s">
        <v>58</v>
      </c>
      <c r="B75" s="2">
        <v>94403</v>
      </c>
      <c r="C75" s="2">
        <v>4</v>
      </c>
      <c r="D75">
        <f>VLOOKUP($C75, private_rates!$A$2:$C$9, 2, FALSE)</f>
        <v>0.35</v>
      </c>
      <c r="E75">
        <f>VLOOKUP($C75, private_rates!$A$2:$C$9, 3, FALSE)</f>
        <v>4.6500000000000004</v>
      </c>
      <c r="F75">
        <f>VLOOKUP($C75, published_rates!$A$2:$C$9, 2, FALSE)</f>
        <v>0.41</v>
      </c>
      <c r="G75">
        <f>VLOOKUP($C75, published_rates!$A$2:$C$9, 3, FALSE)</f>
        <v>5</v>
      </c>
      <c r="H75">
        <f>VLOOKUP($B75, demand!$A$2:$C$44, 2, FALSE)</f>
        <v>724.06999999999994</v>
      </c>
      <c r="I75">
        <f>VLOOKUP($B75, demand!$A$2:$C$44, 3, FALSE)</f>
        <v>24</v>
      </c>
      <c r="J75" t="str">
        <f>VLOOKUP($B75, distributors!$A$2:$C$44, 2, FALSE)</f>
        <v>San Mateo</v>
      </c>
      <c r="K75" t="str">
        <f>VLOOKUP($B75, distributors!$A$2:$C$44, 3, FALSE)</f>
        <v>CA</v>
      </c>
    </row>
    <row r="76" spans="1:11" x14ac:dyDescent="0.2">
      <c r="A76" s="2" t="s">
        <v>58</v>
      </c>
      <c r="B76" s="2">
        <v>95051</v>
      </c>
      <c r="C76" s="2">
        <v>4</v>
      </c>
      <c r="D76">
        <f>VLOOKUP($C76, private_rates!$A$2:$C$9, 2, FALSE)</f>
        <v>0.35</v>
      </c>
      <c r="E76">
        <f>VLOOKUP($C76, private_rates!$A$2:$C$9, 3, FALSE)</f>
        <v>4.6500000000000004</v>
      </c>
      <c r="F76">
        <f>VLOOKUP($C76, published_rates!$A$2:$C$9, 2, FALSE)</f>
        <v>0.41</v>
      </c>
      <c r="G76">
        <f>VLOOKUP($C76, published_rates!$A$2:$C$9, 3, FALSE)</f>
        <v>5</v>
      </c>
      <c r="H76">
        <f>VLOOKUP($B76, demand!$A$2:$C$44, 2, FALSE)</f>
        <v>806.2600000000001</v>
      </c>
      <c r="I76">
        <f>VLOOKUP($B76, demand!$A$2:$C$44, 3, FALSE)</f>
        <v>26</v>
      </c>
      <c r="J76" t="str">
        <f>VLOOKUP($B76, distributors!$A$2:$C$44, 2, FALSE)</f>
        <v>Santa Clara</v>
      </c>
      <c r="K76" t="str">
        <f>VLOOKUP($B76, distributors!$A$2:$C$44, 3, FALSE)</f>
        <v>CA</v>
      </c>
    </row>
    <row r="77" spans="1:11" x14ac:dyDescent="0.2">
      <c r="A77" s="2" t="s">
        <v>58</v>
      </c>
      <c r="B77" s="2">
        <v>95993</v>
      </c>
      <c r="C77" s="2">
        <v>4</v>
      </c>
      <c r="D77">
        <f>VLOOKUP($C77, private_rates!$A$2:$C$9, 2, FALSE)</f>
        <v>0.35</v>
      </c>
      <c r="E77">
        <f>VLOOKUP($C77, private_rates!$A$2:$C$9, 3, FALSE)</f>
        <v>4.6500000000000004</v>
      </c>
      <c r="F77">
        <f>VLOOKUP($C77, published_rates!$A$2:$C$9, 2, FALSE)</f>
        <v>0.41</v>
      </c>
      <c r="G77">
        <f>VLOOKUP($C77, published_rates!$A$2:$C$9, 3, FALSE)</f>
        <v>5</v>
      </c>
      <c r="H77">
        <f>VLOOKUP($B77, demand!$A$2:$C$44, 2, FALSE)</f>
        <v>783.16</v>
      </c>
      <c r="I77">
        <f>VLOOKUP($B77, demand!$A$2:$C$44, 3, FALSE)</f>
        <v>26</v>
      </c>
      <c r="J77" t="str">
        <f>VLOOKUP($B77, distributors!$A$2:$C$44, 2, FALSE)</f>
        <v>Yuba City</v>
      </c>
      <c r="K77" t="str">
        <f>VLOOKUP($B77, distributors!$A$2:$C$44, 3, FALSE)</f>
        <v>CA</v>
      </c>
    </row>
    <row r="78" spans="1:11" x14ac:dyDescent="0.2">
      <c r="A78" s="2" t="s">
        <v>58</v>
      </c>
      <c r="B78" s="2">
        <v>96130</v>
      </c>
      <c r="C78" s="2">
        <v>4</v>
      </c>
      <c r="D78">
        <f>VLOOKUP($C78, private_rates!$A$2:$C$9, 2, FALSE)</f>
        <v>0.35</v>
      </c>
      <c r="E78">
        <f>VLOOKUP($C78, private_rates!$A$2:$C$9, 3, FALSE)</f>
        <v>4.6500000000000004</v>
      </c>
      <c r="F78">
        <f>VLOOKUP($C78, published_rates!$A$2:$C$9, 2, FALSE)</f>
        <v>0.41</v>
      </c>
      <c r="G78">
        <f>VLOOKUP($C78, published_rates!$A$2:$C$9, 3, FALSE)</f>
        <v>5</v>
      </c>
      <c r="H78">
        <f>VLOOKUP($B78, demand!$A$2:$C$44, 2, FALSE)</f>
        <v>488.46000000000004</v>
      </c>
      <c r="I78">
        <f>VLOOKUP($B78, demand!$A$2:$C$44, 3, FALSE)</f>
        <v>16</v>
      </c>
      <c r="J78" t="str">
        <f>VLOOKUP($B78, distributors!$A$2:$C$44, 2, FALSE)</f>
        <v>Susanville</v>
      </c>
      <c r="K78" t="str">
        <f>VLOOKUP($B78, distributors!$A$2:$C$44, 3, FALSE)</f>
        <v>CA</v>
      </c>
    </row>
    <row r="79" spans="1:11" x14ac:dyDescent="0.2">
      <c r="A79" s="2" t="s">
        <v>58</v>
      </c>
      <c r="B79" s="2">
        <v>97002</v>
      </c>
      <c r="C79" s="2">
        <v>2</v>
      </c>
      <c r="D79">
        <f>VLOOKUP($C79, private_rates!$A$2:$C$9, 2, FALSE)</f>
        <v>0.28000000000000003</v>
      </c>
      <c r="E79">
        <f>VLOOKUP($C79, private_rates!$A$2:$C$9, 3, FALSE)</f>
        <v>4</v>
      </c>
      <c r="F79">
        <f>VLOOKUP($C79, published_rates!$A$2:$C$9, 2, FALSE)</f>
        <v>0.33</v>
      </c>
      <c r="G79">
        <f>VLOOKUP($C79, published_rates!$A$2:$C$9, 3, FALSE)</f>
        <v>4.2</v>
      </c>
      <c r="H79">
        <f>VLOOKUP($B79, demand!$A$2:$C$44, 2, FALSE)</f>
        <v>665.41999999999985</v>
      </c>
      <c r="I79">
        <f>VLOOKUP($B79, demand!$A$2:$C$44, 3, FALSE)</f>
        <v>22</v>
      </c>
      <c r="J79" t="str">
        <f>VLOOKUP($B79, distributors!$A$2:$C$44, 2, FALSE)</f>
        <v>Aurora</v>
      </c>
      <c r="K79" t="str">
        <f>VLOOKUP($B79, distributors!$A$2:$C$44, 3, FALSE)</f>
        <v>OR</v>
      </c>
    </row>
    <row r="80" spans="1:11" x14ac:dyDescent="0.2">
      <c r="A80" s="2" t="s">
        <v>58</v>
      </c>
      <c r="B80" s="2">
        <v>97524</v>
      </c>
      <c r="C80" s="2">
        <v>2</v>
      </c>
      <c r="D80">
        <f>VLOOKUP($C80, private_rates!$A$2:$C$9, 2, FALSE)</f>
        <v>0.28000000000000003</v>
      </c>
      <c r="E80">
        <f>VLOOKUP($C80, private_rates!$A$2:$C$9, 3, FALSE)</f>
        <v>4</v>
      </c>
      <c r="F80">
        <f>VLOOKUP($C80, published_rates!$A$2:$C$9, 2, FALSE)</f>
        <v>0.33</v>
      </c>
      <c r="G80">
        <f>VLOOKUP($C80, published_rates!$A$2:$C$9, 3, FALSE)</f>
        <v>4.2</v>
      </c>
      <c r="H80">
        <f>VLOOKUP($B80, demand!$A$2:$C$44, 2, FALSE)</f>
        <v>935.86999999999989</v>
      </c>
      <c r="I80">
        <f>VLOOKUP($B80, demand!$A$2:$C$44, 3, FALSE)</f>
        <v>30</v>
      </c>
      <c r="J80" t="str">
        <f>VLOOKUP($B80, distributors!$A$2:$C$44, 2, FALSE)</f>
        <v>Eagle Point</v>
      </c>
      <c r="K80" t="str">
        <f>VLOOKUP($B80, distributors!$A$2:$C$44, 3, FALSE)</f>
        <v>OR</v>
      </c>
    </row>
    <row r="81" spans="1:11" x14ac:dyDescent="0.2">
      <c r="A81" s="2" t="s">
        <v>58</v>
      </c>
      <c r="B81" s="2">
        <v>97862</v>
      </c>
      <c r="C81" s="2">
        <v>3</v>
      </c>
      <c r="D81">
        <f>VLOOKUP($C81, private_rates!$A$2:$C$9, 2, FALSE)</f>
        <v>0.32</v>
      </c>
      <c r="E81">
        <f>VLOOKUP($C81, private_rates!$A$2:$C$9, 3, FALSE)</f>
        <v>4.3</v>
      </c>
      <c r="F81">
        <f>VLOOKUP($C81, published_rates!$A$2:$C$9, 2, FALSE)</f>
        <v>0.37</v>
      </c>
      <c r="G81">
        <f>VLOOKUP($C81, published_rates!$A$2:$C$9, 3, FALSE)</f>
        <v>4.6500000000000004</v>
      </c>
      <c r="H81">
        <f>VLOOKUP($B81, demand!$A$2:$C$44, 2, FALSE)</f>
        <v>817.06</v>
      </c>
      <c r="I81">
        <f>VLOOKUP($B81, demand!$A$2:$C$44, 3, FALSE)</f>
        <v>26</v>
      </c>
      <c r="J81" t="str">
        <f>VLOOKUP($B81, distributors!$A$2:$C$44, 2, FALSE)</f>
        <v>Milton Freewater</v>
      </c>
      <c r="K81" t="str">
        <f>VLOOKUP($B81, distributors!$A$2:$C$44, 3, FALSE)</f>
        <v>OR</v>
      </c>
    </row>
    <row r="82" spans="1:11" x14ac:dyDescent="0.2">
      <c r="A82" s="2" t="s">
        <v>58</v>
      </c>
      <c r="B82" s="2">
        <v>97920</v>
      </c>
      <c r="C82" s="2">
        <v>4</v>
      </c>
      <c r="D82">
        <f>VLOOKUP($C82, private_rates!$A$2:$C$9, 2, FALSE)</f>
        <v>0.35</v>
      </c>
      <c r="E82">
        <f>VLOOKUP($C82, private_rates!$A$2:$C$9, 3, FALSE)</f>
        <v>4.6500000000000004</v>
      </c>
      <c r="F82">
        <f>VLOOKUP($C82, published_rates!$A$2:$C$9, 2, FALSE)</f>
        <v>0.41</v>
      </c>
      <c r="G82">
        <f>VLOOKUP($C82, published_rates!$A$2:$C$9, 3, FALSE)</f>
        <v>5</v>
      </c>
      <c r="H82">
        <f>VLOOKUP($B82, demand!$A$2:$C$44, 2, FALSE)</f>
        <v>546.56999999999994</v>
      </c>
      <c r="I82">
        <f>VLOOKUP($B82, demand!$A$2:$C$44, 3, FALSE)</f>
        <v>16</v>
      </c>
      <c r="J82" t="str">
        <f>VLOOKUP($B82, distributors!$A$2:$C$44, 2, FALSE)</f>
        <v>Westfall</v>
      </c>
      <c r="K82" t="str">
        <f>VLOOKUP($B82, distributors!$A$2:$C$44, 3, FALSE)</f>
        <v>OR</v>
      </c>
    </row>
    <row r="83" spans="1:11" x14ac:dyDescent="0.2">
      <c r="A83" s="2" t="s">
        <v>58</v>
      </c>
      <c r="B83" s="2">
        <v>98059</v>
      </c>
      <c r="C83" s="2">
        <v>3</v>
      </c>
      <c r="D83">
        <f>VLOOKUP($C83, private_rates!$A$2:$C$9, 2, FALSE)</f>
        <v>0.32</v>
      </c>
      <c r="E83">
        <f>VLOOKUP($C83, private_rates!$A$2:$C$9, 3, FALSE)</f>
        <v>4.3</v>
      </c>
      <c r="F83">
        <f>VLOOKUP($C83, published_rates!$A$2:$C$9, 2, FALSE)</f>
        <v>0.37</v>
      </c>
      <c r="G83">
        <f>VLOOKUP($C83, published_rates!$A$2:$C$9, 3, FALSE)</f>
        <v>4.6500000000000004</v>
      </c>
      <c r="H83">
        <f>VLOOKUP($B83, demand!$A$2:$C$44, 2, FALSE)</f>
        <v>968.45</v>
      </c>
      <c r="I83">
        <f>VLOOKUP($B83, demand!$A$2:$C$44, 3, FALSE)</f>
        <v>30</v>
      </c>
      <c r="J83" t="str">
        <f>VLOOKUP($B83, distributors!$A$2:$C$44, 2, FALSE)</f>
        <v>Renton</v>
      </c>
      <c r="K83" t="str">
        <f>VLOOKUP($B83, distributors!$A$2:$C$44, 3, FALSE)</f>
        <v>WA</v>
      </c>
    </row>
    <row r="84" spans="1:11" x14ac:dyDescent="0.2">
      <c r="A84" s="2" t="s">
        <v>58</v>
      </c>
      <c r="B84" s="2">
        <v>98248</v>
      </c>
      <c r="C84" s="2">
        <v>3</v>
      </c>
      <c r="D84">
        <f>VLOOKUP($C84, private_rates!$A$2:$C$9, 2, FALSE)</f>
        <v>0.32</v>
      </c>
      <c r="E84">
        <f>VLOOKUP($C84, private_rates!$A$2:$C$9, 3, FALSE)</f>
        <v>4.3</v>
      </c>
      <c r="F84">
        <f>VLOOKUP($C84, published_rates!$A$2:$C$9, 2, FALSE)</f>
        <v>0.37</v>
      </c>
      <c r="G84">
        <f>VLOOKUP($C84, published_rates!$A$2:$C$9, 3, FALSE)</f>
        <v>4.6500000000000004</v>
      </c>
      <c r="H84">
        <f>VLOOKUP($B84, demand!$A$2:$C$44, 2, FALSE)</f>
        <v>752.47</v>
      </c>
      <c r="I84">
        <f>VLOOKUP($B84, demand!$A$2:$C$44, 3, FALSE)</f>
        <v>23</v>
      </c>
      <c r="J84" t="str">
        <f>VLOOKUP($B84, distributors!$A$2:$C$44, 2, FALSE)</f>
        <v>Ferndale</v>
      </c>
      <c r="K84" t="str">
        <f>VLOOKUP($B84, distributors!$A$2:$C$44, 3, FALSE)</f>
        <v>WA</v>
      </c>
    </row>
    <row r="85" spans="1:11" x14ac:dyDescent="0.2">
      <c r="A85" s="2" t="s">
        <v>58</v>
      </c>
      <c r="B85" s="2">
        <v>98812</v>
      </c>
      <c r="C85" s="2">
        <v>3</v>
      </c>
      <c r="D85">
        <f>VLOOKUP($C85, private_rates!$A$2:$C$9, 2, FALSE)</f>
        <v>0.32</v>
      </c>
      <c r="E85">
        <f>VLOOKUP($C85, private_rates!$A$2:$C$9, 3, FALSE)</f>
        <v>4.3</v>
      </c>
      <c r="F85">
        <f>VLOOKUP($C85, published_rates!$A$2:$C$9, 2, FALSE)</f>
        <v>0.37</v>
      </c>
      <c r="G85">
        <f>VLOOKUP($C85, published_rates!$A$2:$C$9, 3, FALSE)</f>
        <v>4.6500000000000004</v>
      </c>
      <c r="H85">
        <f>VLOOKUP($B85, demand!$A$2:$C$44, 2, FALSE)</f>
        <v>679.12999999999977</v>
      </c>
      <c r="I85">
        <f>VLOOKUP($B85, demand!$A$2:$C$44, 3, FALSE)</f>
        <v>22</v>
      </c>
      <c r="J85" t="str">
        <f>VLOOKUP($B85, distributors!$A$2:$C$44, 2, FALSE)</f>
        <v>Brewster</v>
      </c>
      <c r="K85" t="str">
        <f>VLOOKUP($B85, distributors!$A$2:$C$44, 3, FALSE)</f>
        <v>WA</v>
      </c>
    </row>
    <row r="86" spans="1:11" x14ac:dyDescent="0.2">
      <c r="A86" s="2" t="s">
        <v>58</v>
      </c>
      <c r="B86" s="2">
        <v>99223</v>
      </c>
      <c r="C86" s="2">
        <v>4</v>
      </c>
      <c r="D86">
        <f>VLOOKUP($C86, private_rates!$A$2:$C$9, 2, FALSE)</f>
        <v>0.35</v>
      </c>
      <c r="E86">
        <f>VLOOKUP($C86, private_rates!$A$2:$C$9, 3, FALSE)</f>
        <v>4.6500000000000004</v>
      </c>
      <c r="F86">
        <f>VLOOKUP($C86, published_rates!$A$2:$C$9, 2, FALSE)</f>
        <v>0.41</v>
      </c>
      <c r="G86">
        <f>VLOOKUP($C86, published_rates!$A$2:$C$9, 3, FALSE)</f>
        <v>5</v>
      </c>
      <c r="H86">
        <f>VLOOKUP($B86, demand!$A$2:$C$44, 2, FALSE)</f>
        <v>669.4</v>
      </c>
      <c r="I86">
        <f>VLOOKUP($B86, demand!$A$2:$C$44, 3, FALSE)</f>
        <v>21</v>
      </c>
      <c r="J86" t="str">
        <f>VLOOKUP($B86, distributors!$A$2:$C$44, 2, FALSE)</f>
        <v>Spokane</v>
      </c>
      <c r="K86" t="str">
        <f>VLOOKUP($B86, distributors!$A$2:$C$44, 3, FALSE)</f>
        <v>WA</v>
      </c>
    </row>
    <row r="87" spans="1:11" x14ac:dyDescent="0.2">
      <c r="A87" s="2" t="s">
        <v>58</v>
      </c>
      <c r="B87" s="2">
        <v>99350</v>
      </c>
      <c r="C87" s="2">
        <v>3</v>
      </c>
      <c r="D87">
        <f>VLOOKUP($C87, private_rates!$A$2:$C$9, 2, FALSE)</f>
        <v>0.32</v>
      </c>
      <c r="E87">
        <f>VLOOKUP($C87, private_rates!$A$2:$C$9, 3, FALSE)</f>
        <v>4.3</v>
      </c>
      <c r="F87">
        <f>VLOOKUP($C87, published_rates!$A$2:$C$9, 2, FALSE)</f>
        <v>0.37</v>
      </c>
      <c r="G87">
        <f>VLOOKUP($C87, published_rates!$A$2:$C$9, 3, FALSE)</f>
        <v>4.6500000000000004</v>
      </c>
      <c r="H87">
        <f>VLOOKUP($B87, demand!$A$2:$C$44, 2, FALSE)</f>
        <v>711.80000000000018</v>
      </c>
      <c r="I87">
        <f>VLOOKUP($B87, demand!$A$2:$C$44, 3, FALSE)</f>
        <v>22</v>
      </c>
      <c r="J87" t="str">
        <f>VLOOKUP($B87, distributors!$A$2:$C$44, 2, FALSE)</f>
        <v>Prosser</v>
      </c>
      <c r="K87" t="str">
        <f>VLOOKUP($B87, distributors!$A$2:$C$44, 3, FALSE)</f>
        <v>WA</v>
      </c>
    </row>
    <row r="88" spans="1:11" x14ac:dyDescent="0.2">
      <c r="A88" s="2" t="s">
        <v>59</v>
      </c>
      <c r="B88" s="2">
        <v>59019</v>
      </c>
      <c r="C88" s="2">
        <v>5</v>
      </c>
      <c r="D88">
        <f>VLOOKUP($C88, private_rates!$A$2:$C$9, 2, FALSE)</f>
        <v>0.4</v>
      </c>
      <c r="E88">
        <f>VLOOKUP($C88, private_rates!$A$2:$C$9, 3, FALSE)</f>
        <v>5</v>
      </c>
      <c r="F88">
        <f>VLOOKUP($C88, published_rates!$A$2:$C$9, 2, FALSE)</f>
        <v>0.46</v>
      </c>
      <c r="G88">
        <f>VLOOKUP($C88, published_rates!$A$2:$C$9, 3, FALSE)</f>
        <v>5.4</v>
      </c>
      <c r="H88">
        <f>VLOOKUP($B88, demand!$A$2:$C$44, 2, FALSE)</f>
        <v>779.83999999999992</v>
      </c>
      <c r="I88">
        <f>VLOOKUP($B88, demand!$A$2:$C$44, 3, FALSE)</f>
        <v>30</v>
      </c>
      <c r="J88" t="str">
        <f>VLOOKUP($B88, distributors!$A$2:$C$44, 2, FALSE)</f>
        <v>Columbus</v>
      </c>
      <c r="K88" t="str">
        <f>VLOOKUP($B88, distributors!$A$2:$C$44, 3, FALSE)</f>
        <v>MT</v>
      </c>
    </row>
    <row r="89" spans="1:11" x14ac:dyDescent="0.2">
      <c r="A89" s="2" t="s">
        <v>59</v>
      </c>
      <c r="B89" s="2">
        <v>59634</v>
      </c>
      <c r="C89" s="2">
        <v>5</v>
      </c>
      <c r="D89">
        <f>VLOOKUP($C89, private_rates!$A$2:$C$9, 2, FALSE)</f>
        <v>0.4</v>
      </c>
      <c r="E89">
        <f>VLOOKUP($C89, private_rates!$A$2:$C$9, 3, FALSE)</f>
        <v>5</v>
      </c>
      <c r="F89">
        <f>VLOOKUP($C89, published_rates!$A$2:$C$9, 2, FALSE)</f>
        <v>0.46</v>
      </c>
      <c r="G89">
        <f>VLOOKUP($C89, published_rates!$A$2:$C$9, 3, FALSE)</f>
        <v>5.4</v>
      </c>
      <c r="H89">
        <f>VLOOKUP($B89, demand!$A$2:$C$44, 2, FALSE)</f>
        <v>730.32999999999993</v>
      </c>
      <c r="I89">
        <f>VLOOKUP($B89, demand!$A$2:$C$44, 3, FALSE)</f>
        <v>29</v>
      </c>
      <c r="J89" t="str">
        <f>VLOOKUP($B89, distributors!$A$2:$C$44, 2, FALSE)</f>
        <v>Clancy</v>
      </c>
      <c r="K89" t="str">
        <f>VLOOKUP($B89, distributors!$A$2:$C$44, 3, FALSE)</f>
        <v>MT</v>
      </c>
    </row>
    <row r="90" spans="1:11" x14ac:dyDescent="0.2">
      <c r="A90" s="2" t="s">
        <v>59</v>
      </c>
      <c r="B90" s="2">
        <v>59808</v>
      </c>
      <c r="C90" s="2">
        <v>5</v>
      </c>
      <c r="D90">
        <f>VLOOKUP($C90, private_rates!$A$2:$C$9, 2, FALSE)</f>
        <v>0.4</v>
      </c>
      <c r="E90">
        <f>VLOOKUP($C90, private_rates!$A$2:$C$9, 3, FALSE)</f>
        <v>5</v>
      </c>
      <c r="F90">
        <f>VLOOKUP($C90, published_rates!$A$2:$C$9, 2, FALSE)</f>
        <v>0.46</v>
      </c>
      <c r="G90">
        <f>VLOOKUP($C90, published_rates!$A$2:$C$9, 3, FALSE)</f>
        <v>5.4</v>
      </c>
      <c r="H90">
        <f>VLOOKUP($B90, demand!$A$2:$C$44, 2, FALSE)</f>
        <v>568.34</v>
      </c>
      <c r="I90">
        <f>VLOOKUP($B90, demand!$A$2:$C$44, 3, FALSE)</f>
        <v>23</v>
      </c>
      <c r="J90" t="str">
        <f>VLOOKUP($B90, distributors!$A$2:$C$44, 2, FALSE)</f>
        <v>Missoula</v>
      </c>
      <c r="K90" t="str">
        <f>VLOOKUP($B90, distributors!$A$2:$C$44, 3, FALSE)</f>
        <v>MT</v>
      </c>
    </row>
    <row r="91" spans="1:11" x14ac:dyDescent="0.2">
      <c r="A91" s="2" t="s">
        <v>59</v>
      </c>
      <c r="B91" s="2">
        <v>81321</v>
      </c>
      <c r="C91" s="2">
        <v>4</v>
      </c>
      <c r="D91">
        <f>VLOOKUP($C91, private_rates!$A$2:$C$9, 2, FALSE)</f>
        <v>0.35</v>
      </c>
      <c r="E91">
        <f>VLOOKUP($C91, private_rates!$A$2:$C$9, 3, FALSE)</f>
        <v>4.6500000000000004</v>
      </c>
      <c r="F91">
        <f>VLOOKUP($C91, published_rates!$A$2:$C$9, 2, FALSE)</f>
        <v>0.41</v>
      </c>
      <c r="G91">
        <f>VLOOKUP($C91, published_rates!$A$2:$C$9, 3, FALSE)</f>
        <v>5</v>
      </c>
      <c r="H91">
        <f>VLOOKUP($B91, demand!$A$2:$C$44, 2, FALSE)</f>
        <v>759</v>
      </c>
      <c r="I91">
        <f>VLOOKUP($B91, demand!$A$2:$C$44, 3, FALSE)</f>
        <v>32</v>
      </c>
      <c r="J91" t="str">
        <f>VLOOKUP($B91, distributors!$A$2:$C$44, 2, FALSE)</f>
        <v>Cortez</v>
      </c>
      <c r="K91" t="str">
        <f>VLOOKUP($B91, distributors!$A$2:$C$44, 3, FALSE)</f>
        <v>CO</v>
      </c>
    </row>
    <row r="92" spans="1:11" x14ac:dyDescent="0.2">
      <c r="A92" s="2" t="s">
        <v>59</v>
      </c>
      <c r="B92" s="2">
        <v>81416</v>
      </c>
      <c r="C92" s="2">
        <v>4</v>
      </c>
      <c r="D92">
        <f>VLOOKUP($C92, private_rates!$A$2:$C$9, 2, FALSE)</f>
        <v>0.35</v>
      </c>
      <c r="E92">
        <f>VLOOKUP($C92, private_rates!$A$2:$C$9, 3, FALSE)</f>
        <v>4.6500000000000004</v>
      </c>
      <c r="F92">
        <f>VLOOKUP($C92, published_rates!$A$2:$C$9, 2, FALSE)</f>
        <v>0.41</v>
      </c>
      <c r="G92">
        <f>VLOOKUP($C92, published_rates!$A$2:$C$9, 3, FALSE)</f>
        <v>5</v>
      </c>
      <c r="H92">
        <f>VLOOKUP($B92, demand!$A$2:$C$44, 2, FALSE)</f>
        <v>976.23</v>
      </c>
      <c r="I92">
        <f>VLOOKUP($B92, demand!$A$2:$C$44, 3, FALSE)</f>
        <v>37</v>
      </c>
      <c r="J92" t="str">
        <f>VLOOKUP($B92, distributors!$A$2:$C$44, 2, FALSE)</f>
        <v>Delta</v>
      </c>
      <c r="K92" t="str">
        <f>VLOOKUP($B92, distributors!$A$2:$C$44, 3, FALSE)</f>
        <v>CO</v>
      </c>
    </row>
    <row r="93" spans="1:11" x14ac:dyDescent="0.2">
      <c r="A93" s="2" t="s">
        <v>59</v>
      </c>
      <c r="B93" s="2">
        <v>81504</v>
      </c>
      <c r="C93" s="2">
        <v>4</v>
      </c>
      <c r="D93">
        <f>VLOOKUP($C93, private_rates!$A$2:$C$9, 2, FALSE)</f>
        <v>0.35</v>
      </c>
      <c r="E93">
        <f>VLOOKUP($C93, private_rates!$A$2:$C$9, 3, FALSE)</f>
        <v>4.6500000000000004</v>
      </c>
      <c r="F93">
        <f>VLOOKUP($C93, published_rates!$A$2:$C$9, 2, FALSE)</f>
        <v>0.41</v>
      </c>
      <c r="G93">
        <f>VLOOKUP($C93, published_rates!$A$2:$C$9, 3, FALSE)</f>
        <v>5</v>
      </c>
      <c r="H93">
        <f>VLOOKUP($B93, demand!$A$2:$C$44, 2, FALSE)</f>
        <v>860.19000000000028</v>
      </c>
      <c r="I93">
        <f>VLOOKUP($B93, demand!$A$2:$C$44, 3, FALSE)</f>
        <v>32</v>
      </c>
      <c r="J93" t="str">
        <f>VLOOKUP($B93, distributors!$A$2:$C$44, 2, FALSE)</f>
        <v>Grand Junction</v>
      </c>
      <c r="K93" t="str">
        <f>VLOOKUP($B93, distributors!$A$2:$C$44, 3, FALSE)</f>
        <v>CO</v>
      </c>
    </row>
    <row r="94" spans="1:11" x14ac:dyDescent="0.2">
      <c r="A94" s="2" t="s">
        <v>59</v>
      </c>
      <c r="B94" s="2">
        <v>81650</v>
      </c>
      <c r="C94" s="2">
        <v>4</v>
      </c>
      <c r="D94">
        <f>VLOOKUP($C94, private_rates!$A$2:$C$9, 2, FALSE)</f>
        <v>0.35</v>
      </c>
      <c r="E94">
        <f>VLOOKUP($C94, private_rates!$A$2:$C$9, 3, FALSE)</f>
        <v>4.6500000000000004</v>
      </c>
      <c r="F94">
        <f>VLOOKUP($C94, published_rates!$A$2:$C$9, 2, FALSE)</f>
        <v>0.41</v>
      </c>
      <c r="G94">
        <f>VLOOKUP($C94, published_rates!$A$2:$C$9, 3, FALSE)</f>
        <v>5</v>
      </c>
      <c r="H94">
        <f>VLOOKUP($B94, demand!$A$2:$C$44, 2, FALSE)</f>
        <v>585.81000000000006</v>
      </c>
      <c r="I94">
        <f>VLOOKUP($B94, demand!$A$2:$C$44, 3, FALSE)</f>
        <v>22</v>
      </c>
      <c r="J94" t="str">
        <f>VLOOKUP($B94, distributors!$A$2:$C$44, 2, FALSE)</f>
        <v>Rifle</v>
      </c>
      <c r="K94" t="str">
        <f>VLOOKUP($B94, distributors!$A$2:$C$44, 3, FALSE)</f>
        <v>CO</v>
      </c>
    </row>
    <row r="95" spans="1:11" x14ac:dyDescent="0.2">
      <c r="A95" s="2" t="s">
        <v>59</v>
      </c>
      <c r="B95" s="2">
        <v>83014</v>
      </c>
      <c r="C95" s="2">
        <v>4</v>
      </c>
      <c r="D95">
        <f>VLOOKUP($C95, private_rates!$A$2:$C$9, 2, FALSE)</f>
        <v>0.35</v>
      </c>
      <c r="E95">
        <f>VLOOKUP($C95, private_rates!$A$2:$C$9, 3, FALSE)</f>
        <v>4.6500000000000004</v>
      </c>
      <c r="F95">
        <f>VLOOKUP($C95, published_rates!$A$2:$C$9, 2, FALSE)</f>
        <v>0.41</v>
      </c>
      <c r="G95">
        <f>VLOOKUP($C95, published_rates!$A$2:$C$9, 3, FALSE)</f>
        <v>5</v>
      </c>
      <c r="H95">
        <f>VLOOKUP($B95, demand!$A$2:$C$44, 2, FALSE)</f>
        <v>412.08000000000004</v>
      </c>
      <c r="I95">
        <f>VLOOKUP($B95, demand!$A$2:$C$44, 3, FALSE)</f>
        <v>15</v>
      </c>
      <c r="J95" t="str">
        <f>VLOOKUP($B95, distributors!$A$2:$C$44, 2, FALSE)</f>
        <v>Wilson</v>
      </c>
      <c r="K95" t="str">
        <f>VLOOKUP($B95, distributors!$A$2:$C$44, 3, FALSE)</f>
        <v>WY</v>
      </c>
    </row>
    <row r="96" spans="1:11" x14ac:dyDescent="0.2">
      <c r="A96" s="2" t="s">
        <v>59</v>
      </c>
      <c r="B96" s="2">
        <v>83338</v>
      </c>
      <c r="C96" s="2">
        <v>4</v>
      </c>
      <c r="D96">
        <f>VLOOKUP($C96, private_rates!$A$2:$C$9, 2, FALSE)</f>
        <v>0.35</v>
      </c>
      <c r="E96">
        <f>VLOOKUP($C96, private_rates!$A$2:$C$9, 3, FALSE)</f>
        <v>4.6500000000000004</v>
      </c>
      <c r="F96">
        <f>VLOOKUP($C96, published_rates!$A$2:$C$9, 2, FALSE)</f>
        <v>0.41</v>
      </c>
      <c r="G96">
        <f>VLOOKUP($C96, published_rates!$A$2:$C$9, 3, FALSE)</f>
        <v>5</v>
      </c>
      <c r="H96">
        <f>VLOOKUP($B96, demand!$A$2:$C$44, 2, FALSE)</f>
        <v>546.12999999999988</v>
      </c>
      <c r="I96">
        <f>VLOOKUP($B96, demand!$A$2:$C$44, 3, FALSE)</f>
        <v>21</v>
      </c>
      <c r="J96" t="str">
        <f>VLOOKUP($B96, distributors!$A$2:$C$44, 2, FALSE)</f>
        <v>Jerome</v>
      </c>
      <c r="K96" t="str">
        <f>VLOOKUP($B96, distributors!$A$2:$C$44, 3, FALSE)</f>
        <v>ID</v>
      </c>
    </row>
    <row r="97" spans="1:11" x14ac:dyDescent="0.2">
      <c r="A97" s="2" t="s">
        <v>59</v>
      </c>
      <c r="B97" s="2">
        <v>83544</v>
      </c>
      <c r="C97" s="2">
        <v>5</v>
      </c>
      <c r="D97">
        <f>VLOOKUP($C97, private_rates!$A$2:$C$9, 2, FALSE)</f>
        <v>0.4</v>
      </c>
      <c r="E97">
        <f>VLOOKUP($C97, private_rates!$A$2:$C$9, 3, FALSE)</f>
        <v>5</v>
      </c>
      <c r="F97">
        <f>VLOOKUP($C97, published_rates!$A$2:$C$9, 2, FALSE)</f>
        <v>0.46</v>
      </c>
      <c r="G97">
        <f>VLOOKUP($C97, published_rates!$A$2:$C$9, 3, FALSE)</f>
        <v>5.4</v>
      </c>
      <c r="H97">
        <f>VLOOKUP($B97, demand!$A$2:$C$44, 2, FALSE)</f>
        <v>599.47</v>
      </c>
      <c r="I97">
        <f>VLOOKUP($B97, demand!$A$2:$C$44, 3, FALSE)</f>
        <v>22</v>
      </c>
      <c r="J97" t="str">
        <f>VLOOKUP($B97, distributors!$A$2:$C$44, 2, FALSE)</f>
        <v>Orofino</v>
      </c>
      <c r="K97" t="str">
        <f>VLOOKUP($B97, distributors!$A$2:$C$44, 3, FALSE)</f>
        <v>ID</v>
      </c>
    </row>
    <row r="98" spans="1:11" x14ac:dyDescent="0.2">
      <c r="A98" s="2" t="s">
        <v>59</v>
      </c>
      <c r="B98" s="2">
        <v>83638</v>
      </c>
      <c r="C98" s="2">
        <v>4</v>
      </c>
      <c r="D98">
        <f>VLOOKUP($C98, private_rates!$A$2:$C$9, 2, FALSE)</f>
        <v>0.35</v>
      </c>
      <c r="E98">
        <f>VLOOKUP($C98, private_rates!$A$2:$C$9, 3, FALSE)</f>
        <v>4.6500000000000004</v>
      </c>
      <c r="F98">
        <f>VLOOKUP($C98, published_rates!$A$2:$C$9, 2, FALSE)</f>
        <v>0.41</v>
      </c>
      <c r="G98">
        <f>VLOOKUP($C98, published_rates!$A$2:$C$9, 3, FALSE)</f>
        <v>5</v>
      </c>
      <c r="H98">
        <f>VLOOKUP($B98, demand!$A$2:$C$44, 2, FALSE)</f>
        <v>853.4100000000002</v>
      </c>
      <c r="I98">
        <f>VLOOKUP($B98, demand!$A$2:$C$44, 3, FALSE)</f>
        <v>30</v>
      </c>
      <c r="J98" t="str">
        <f>VLOOKUP($B98, distributors!$A$2:$C$44, 2, FALSE)</f>
        <v>McCall</v>
      </c>
      <c r="K98" t="str">
        <f>VLOOKUP($B98, distributors!$A$2:$C$44, 3, FALSE)</f>
        <v>ID</v>
      </c>
    </row>
    <row r="99" spans="1:11" x14ac:dyDescent="0.2">
      <c r="A99" s="2" t="s">
        <v>59</v>
      </c>
      <c r="B99" s="2">
        <v>83706</v>
      </c>
      <c r="C99" s="2">
        <v>4</v>
      </c>
      <c r="D99">
        <f>VLOOKUP($C99, private_rates!$A$2:$C$9, 2, FALSE)</f>
        <v>0.35</v>
      </c>
      <c r="E99">
        <f>VLOOKUP($C99, private_rates!$A$2:$C$9, 3, FALSE)</f>
        <v>4.6500000000000004</v>
      </c>
      <c r="F99">
        <f>VLOOKUP($C99, published_rates!$A$2:$C$9, 2, FALSE)</f>
        <v>0.41</v>
      </c>
      <c r="G99">
        <f>VLOOKUP($C99, published_rates!$A$2:$C$9, 3, FALSE)</f>
        <v>5</v>
      </c>
      <c r="H99">
        <f>VLOOKUP($B99, demand!$A$2:$C$44, 2, FALSE)</f>
        <v>518.5200000000001</v>
      </c>
      <c r="I99">
        <f>VLOOKUP($B99, demand!$A$2:$C$44, 3, FALSE)</f>
        <v>18</v>
      </c>
      <c r="J99" t="str">
        <f>VLOOKUP($B99, distributors!$A$2:$C$44, 2, FALSE)</f>
        <v>Boise</v>
      </c>
      <c r="K99" t="str">
        <f>VLOOKUP($B99, distributors!$A$2:$C$44, 3, FALSE)</f>
        <v>ID</v>
      </c>
    </row>
    <row r="100" spans="1:11" x14ac:dyDescent="0.2">
      <c r="A100" s="2" t="s">
        <v>59</v>
      </c>
      <c r="B100" s="2">
        <v>84003</v>
      </c>
      <c r="C100" s="2">
        <v>4</v>
      </c>
      <c r="D100">
        <f>VLOOKUP($C100, private_rates!$A$2:$C$9, 2, FALSE)</f>
        <v>0.35</v>
      </c>
      <c r="E100">
        <f>VLOOKUP($C100, private_rates!$A$2:$C$9, 3, FALSE)</f>
        <v>4.6500000000000004</v>
      </c>
      <c r="F100">
        <f>VLOOKUP($C100, published_rates!$A$2:$C$9, 2, FALSE)</f>
        <v>0.41</v>
      </c>
      <c r="G100">
        <f>VLOOKUP($C100, published_rates!$A$2:$C$9, 3, FALSE)</f>
        <v>5</v>
      </c>
      <c r="H100">
        <f>VLOOKUP($B100, demand!$A$2:$C$44, 2, FALSE)</f>
        <v>706.61</v>
      </c>
      <c r="I100">
        <f>VLOOKUP($B100, demand!$A$2:$C$44, 3, FALSE)</f>
        <v>25</v>
      </c>
      <c r="J100" t="str">
        <f>VLOOKUP($B100, distributors!$A$2:$C$44, 2, FALSE)</f>
        <v>American Fork</v>
      </c>
      <c r="K100" t="str">
        <f>VLOOKUP($B100, distributors!$A$2:$C$44, 3, FALSE)</f>
        <v>UT</v>
      </c>
    </row>
    <row r="101" spans="1:11" x14ac:dyDescent="0.2">
      <c r="A101" s="2" t="s">
        <v>59</v>
      </c>
      <c r="B101" s="2">
        <v>84414</v>
      </c>
      <c r="C101" s="2">
        <v>4</v>
      </c>
      <c r="D101">
        <f>VLOOKUP($C101, private_rates!$A$2:$C$9, 2, FALSE)</f>
        <v>0.35</v>
      </c>
      <c r="E101">
        <f>VLOOKUP($C101, private_rates!$A$2:$C$9, 3, FALSE)</f>
        <v>4.6500000000000004</v>
      </c>
      <c r="F101">
        <f>VLOOKUP($C101, published_rates!$A$2:$C$9, 2, FALSE)</f>
        <v>0.41</v>
      </c>
      <c r="G101">
        <f>VLOOKUP($C101, published_rates!$A$2:$C$9, 3, FALSE)</f>
        <v>5</v>
      </c>
      <c r="H101">
        <f>VLOOKUP($B101, demand!$A$2:$C$44, 2, FALSE)</f>
        <v>613.67000000000007</v>
      </c>
      <c r="I101">
        <f>VLOOKUP($B101, demand!$A$2:$C$44, 3, FALSE)</f>
        <v>22</v>
      </c>
      <c r="J101" t="str">
        <f>VLOOKUP($B101, distributors!$A$2:$C$44, 2, FALSE)</f>
        <v>Ogden</v>
      </c>
      <c r="K101" t="str">
        <f>VLOOKUP($B101, distributors!$A$2:$C$44, 3, FALSE)</f>
        <v>UT</v>
      </c>
    </row>
    <row r="102" spans="1:11" x14ac:dyDescent="0.2">
      <c r="A102" s="2" t="s">
        <v>59</v>
      </c>
      <c r="B102" s="2">
        <v>84532</v>
      </c>
      <c r="C102" s="2">
        <v>4</v>
      </c>
      <c r="D102">
        <f>VLOOKUP($C102, private_rates!$A$2:$C$9, 2, FALSE)</f>
        <v>0.35</v>
      </c>
      <c r="E102">
        <f>VLOOKUP($C102, private_rates!$A$2:$C$9, 3, FALSE)</f>
        <v>4.6500000000000004</v>
      </c>
      <c r="F102">
        <f>VLOOKUP($C102, published_rates!$A$2:$C$9, 2, FALSE)</f>
        <v>0.41</v>
      </c>
      <c r="G102">
        <f>VLOOKUP($C102, published_rates!$A$2:$C$9, 3, FALSE)</f>
        <v>5</v>
      </c>
      <c r="H102">
        <f>VLOOKUP($B102, demand!$A$2:$C$44, 2, FALSE)</f>
        <v>339.5</v>
      </c>
      <c r="I102">
        <f>VLOOKUP($B102, demand!$A$2:$C$44, 3, FALSE)</f>
        <v>11</v>
      </c>
      <c r="J102" t="str">
        <f>VLOOKUP($B102, distributors!$A$2:$C$44, 2, FALSE)</f>
        <v>Moab</v>
      </c>
      <c r="K102" t="str">
        <f>VLOOKUP($B102, distributors!$A$2:$C$44, 3, FALSE)</f>
        <v>UT</v>
      </c>
    </row>
    <row r="103" spans="1:11" x14ac:dyDescent="0.2">
      <c r="A103" s="2" t="s">
        <v>59</v>
      </c>
      <c r="B103" s="2">
        <v>84780</v>
      </c>
      <c r="C103" s="2">
        <v>3</v>
      </c>
      <c r="D103">
        <f>VLOOKUP($C103, private_rates!$A$2:$C$9, 2, FALSE)</f>
        <v>0.32</v>
      </c>
      <c r="E103">
        <f>VLOOKUP($C103, private_rates!$A$2:$C$9, 3, FALSE)</f>
        <v>4.3</v>
      </c>
      <c r="F103">
        <f>VLOOKUP($C103, published_rates!$A$2:$C$9, 2, FALSE)</f>
        <v>0.37</v>
      </c>
      <c r="G103">
        <f>VLOOKUP($C103, published_rates!$A$2:$C$9, 3, FALSE)</f>
        <v>4.6500000000000004</v>
      </c>
      <c r="H103">
        <f>VLOOKUP($B103, demand!$A$2:$C$44, 2, FALSE)</f>
        <v>648.88</v>
      </c>
      <c r="I103">
        <f>VLOOKUP($B103, demand!$A$2:$C$44, 3, FALSE)</f>
        <v>22</v>
      </c>
      <c r="J103" t="str">
        <f>VLOOKUP($B103, distributors!$A$2:$C$44, 2, FALSE)</f>
        <v>Washington</v>
      </c>
      <c r="K103" t="str">
        <f>VLOOKUP($B103, distributors!$A$2:$C$44, 3, FALSE)</f>
        <v>UT</v>
      </c>
    </row>
    <row r="104" spans="1:11" x14ac:dyDescent="0.2">
      <c r="A104" s="2" t="s">
        <v>59</v>
      </c>
      <c r="B104" s="2">
        <v>85012</v>
      </c>
      <c r="C104" s="2">
        <v>3</v>
      </c>
      <c r="D104">
        <f>VLOOKUP($C104, private_rates!$A$2:$C$9, 2, FALSE)</f>
        <v>0.32</v>
      </c>
      <c r="E104">
        <f>VLOOKUP($C104, private_rates!$A$2:$C$9, 3, FALSE)</f>
        <v>4.3</v>
      </c>
      <c r="F104">
        <f>VLOOKUP($C104, published_rates!$A$2:$C$9, 2, FALSE)</f>
        <v>0.37</v>
      </c>
      <c r="G104">
        <f>VLOOKUP($C104, published_rates!$A$2:$C$9, 3, FALSE)</f>
        <v>4.6500000000000004</v>
      </c>
      <c r="H104">
        <f>VLOOKUP($B104, demand!$A$2:$C$44, 2, FALSE)</f>
        <v>685.8499999999998</v>
      </c>
      <c r="I104">
        <f>VLOOKUP($B104, demand!$A$2:$C$44, 3, FALSE)</f>
        <v>25</v>
      </c>
      <c r="J104" t="str">
        <f>VLOOKUP($B104, distributors!$A$2:$C$44, 2, FALSE)</f>
        <v>Phoeniz</v>
      </c>
      <c r="K104" t="str">
        <f>VLOOKUP($B104, distributors!$A$2:$C$44, 3, FALSE)</f>
        <v>AZ</v>
      </c>
    </row>
    <row r="105" spans="1:11" x14ac:dyDescent="0.2">
      <c r="A105" s="2" t="s">
        <v>59</v>
      </c>
      <c r="B105" s="2">
        <v>86004</v>
      </c>
      <c r="C105" s="2">
        <v>3</v>
      </c>
      <c r="D105">
        <f>VLOOKUP($C105, private_rates!$A$2:$C$9, 2, FALSE)</f>
        <v>0.32</v>
      </c>
      <c r="E105">
        <f>VLOOKUP($C105, private_rates!$A$2:$C$9, 3, FALSE)</f>
        <v>4.3</v>
      </c>
      <c r="F105">
        <f>VLOOKUP($C105, published_rates!$A$2:$C$9, 2, FALSE)</f>
        <v>0.37</v>
      </c>
      <c r="G105">
        <f>VLOOKUP($C105, published_rates!$A$2:$C$9, 3, FALSE)</f>
        <v>4.6500000000000004</v>
      </c>
      <c r="H105">
        <f>VLOOKUP($B105, demand!$A$2:$C$44, 2, FALSE)</f>
        <v>654.43000000000006</v>
      </c>
      <c r="I105">
        <f>VLOOKUP($B105, demand!$A$2:$C$44, 3, FALSE)</f>
        <v>24</v>
      </c>
      <c r="J105" t="str">
        <f>VLOOKUP($B105, distributors!$A$2:$C$44, 2, FALSE)</f>
        <v>Flagstaff</v>
      </c>
      <c r="K105" t="str">
        <f>VLOOKUP($B105, distributors!$A$2:$C$44, 3, FALSE)</f>
        <v>AZ</v>
      </c>
    </row>
    <row r="106" spans="1:11" x14ac:dyDescent="0.2">
      <c r="A106" s="2" t="s">
        <v>59</v>
      </c>
      <c r="B106" s="2">
        <v>86042</v>
      </c>
      <c r="C106" s="2">
        <v>3</v>
      </c>
      <c r="D106">
        <f>VLOOKUP($C106, private_rates!$A$2:$C$9, 2, FALSE)</f>
        <v>0.32</v>
      </c>
      <c r="E106">
        <f>VLOOKUP($C106, private_rates!$A$2:$C$9, 3, FALSE)</f>
        <v>4.3</v>
      </c>
      <c r="F106">
        <f>VLOOKUP($C106, published_rates!$A$2:$C$9, 2, FALSE)</f>
        <v>0.37</v>
      </c>
      <c r="G106">
        <f>VLOOKUP($C106, published_rates!$A$2:$C$9, 3, FALSE)</f>
        <v>4.6500000000000004</v>
      </c>
      <c r="H106">
        <f>VLOOKUP($B106, demand!$A$2:$C$44, 2, FALSE)</f>
        <v>522.40000000000009</v>
      </c>
      <c r="I106">
        <f>VLOOKUP($B106, demand!$A$2:$C$44, 3, FALSE)</f>
        <v>18</v>
      </c>
      <c r="J106" t="str">
        <f>VLOOKUP($B106, distributors!$A$2:$C$44, 2, FALSE)</f>
        <v>Polacca</v>
      </c>
      <c r="K106" t="str">
        <f>VLOOKUP($B106, distributors!$A$2:$C$44, 3, FALSE)</f>
        <v>AZ</v>
      </c>
    </row>
    <row r="107" spans="1:11" x14ac:dyDescent="0.2">
      <c r="A107" s="2" t="s">
        <v>59</v>
      </c>
      <c r="B107" s="2">
        <v>86314</v>
      </c>
      <c r="C107" s="2">
        <v>3</v>
      </c>
      <c r="D107">
        <f>VLOOKUP($C107, private_rates!$A$2:$C$9, 2, FALSE)</f>
        <v>0.32</v>
      </c>
      <c r="E107">
        <f>VLOOKUP($C107, private_rates!$A$2:$C$9, 3, FALSE)</f>
        <v>4.3</v>
      </c>
      <c r="F107">
        <f>VLOOKUP($C107, published_rates!$A$2:$C$9, 2, FALSE)</f>
        <v>0.37</v>
      </c>
      <c r="G107">
        <f>VLOOKUP($C107, published_rates!$A$2:$C$9, 3, FALSE)</f>
        <v>4.6500000000000004</v>
      </c>
      <c r="H107">
        <f>VLOOKUP($B107, demand!$A$2:$C$44, 2, FALSE)</f>
        <v>788.67000000000019</v>
      </c>
      <c r="I107">
        <f>VLOOKUP($B107, demand!$A$2:$C$44, 3, FALSE)</f>
        <v>27</v>
      </c>
      <c r="J107" t="str">
        <f>VLOOKUP($B107, distributors!$A$2:$C$44, 2, FALSE)</f>
        <v>Prescott Valley</v>
      </c>
      <c r="K107" t="str">
        <f>VLOOKUP($B107, distributors!$A$2:$C$44, 3, FALSE)</f>
        <v>AZ</v>
      </c>
    </row>
    <row r="108" spans="1:11" x14ac:dyDescent="0.2">
      <c r="A108" s="2" t="s">
        <v>59</v>
      </c>
      <c r="B108" s="2">
        <v>86426</v>
      </c>
      <c r="C108" s="2">
        <v>2</v>
      </c>
      <c r="D108">
        <f>VLOOKUP($C108, private_rates!$A$2:$C$9, 2, FALSE)</f>
        <v>0.28000000000000003</v>
      </c>
      <c r="E108">
        <f>VLOOKUP($C108, private_rates!$A$2:$C$9, 3, FALSE)</f>
        <v>4</v>
      </c>
      <c r="F108">
        <f>VLOOKUP($C108, published_rates!$A$2:$C$9, 2, FALSE)</f>
        <v>0.33</v>
      </c>
      <c r="G108">
        <f>VLOOKUP($C108, published_rates!$A$2:$C$9, 3, FALSE)</f>
        <v>4.2</v>
      </c>
      <c r="H108">
        <f>VLOOKUP($B108, demand!$A$2:$C$44, 2, FALSE)</f>
        <v>743.05000000000007</v>
      </c>
      <c r="I108">
        <f>VLOOKUP($B108, demand!$A$2:$C$44, 3, FALSE)</f>
        <v>26</v>
      </c>
      <c r="J108" t="str">
        <f>VLOOKUP($B108, distributors!$A$2:$C$44, 2, FALSE)</f>
        <v>Fort Mohave</v>
      </c>
      <c r="K108" t="str">
        <f>VLOOKUP($B108, distributors!$A$2:$C$44, 3, FALSE)</f>
        <v>AZ</v>
      </c>
    </row>
    <row r="109" spans="1:11" x14ac:dyDescent="0.2">
      <c r="A109" s="2" t="s">
        <v>59</v>
      </c>
      <c r="B109" s="2">
        <v>89104</v>
      </c>
      <c r="C109" s="2">
        <v>2</v>
      </c>
      <c r="D109">
        <f>VLOOKUP($C109, private_rates!$A$2:$C$9, 2, FALSE)</f>
        <v>0.28000000000000003</v>
      </c>
      <c r="E109">
        <f>VLOOKUP($C109, private_rates!$A$2:$C$9, 3, FALSE)</f>
        <v>4</v>
      </c>
      <c r="F109">
        <f>VLOOKUP($C109, published_rates!$A$2:$C$9, 2, FALSE)</f>
        <v>0.33</v>
      </c>
      <c r="G109">
        <f>VLOOKUP($C109, published_rates!$A$2:$C$9, 3, FALSE)</f>
        <v>4.2</v>
      </c>
      <c r="H109">
        <f>VLOOKUP($B109, demand!$A$2:$C$44, 2, FALSE)</f>
        <v>1033.9699999999998</v>
      </c>
      <c r="I109">
        <f>VLOOKUP($B109, demand!$A$2:$C$44, 3, FALSE)</f>
        <v>34</v>
      </c>
      <c r="J109" t="str">
        <f>VLOOKUP($B109, distributors!$A$2:$C$44, 2, FALSE)</f>
        <v>Las Vegas</v>
      </c>
      <c r="K109" t="str">
        <f>VLOOKUP($B109, distributors!$A$2:$C$44, 3, FALSE)</f>
        <v>NV</v>
      </c>
    </row>
    <row r="110" spans="1:11" x14ac:dyDescent="0.2">
      <c r="A110" s="2" t="s">
        <v>59</v>
      </c>
      <c r="B110" s="2">
        <v>89408</v>
      </c>
      <c r="C110" s="2">
        <v>4</v>
      </c>
      <c r="D110">
        <f>VLOOKUP($C110, private_rates!$A$2:$C$9, 2, FALSE)</f>
        <v>0.35</v>
      </c>
      <c r="E110">
        <f>VLOOKUP($C110, private_rates!$A$2:$C$9, 3, FALSE)</f>
        <v>4.6500000000000004</v>
      </c>
      <c r="F110">
        <f>VLOOKUP($C110, published_rates!$A$2:$C$9, 2, FALSE)</f>
        <v>0.41</v>
      </c>
      <c r="G110">
        <f>VLOOKUP($C110, published_rates!$A$2:$C$9, 3, FALSE)</f>
        <v>5</v>
      </c>
      <c r="H110">
        <f>VLOOKUP($B110, demand!$A$2:$C$44, 2, FALSE)</f>
        <v>664.08</v>
      </c>
      <c r="I110">
        <f>VLOOKUP($B110, demand!$A$2:$C$44, 3, FALSE)</f>
        <v>22</v>
      </c>
      <c r="J110" t="str">
        <f>VLOOKUP($B110, distributors!$A$2:$C$44, 2, FALSE)</f>
        <v>Fernley</v>
      </c>
      <c r="K110" t="str">
        <f>VLOOKUP($B110, distributors!$A$2:$C$44, 3, FALSE)</f>
        <v>NV</v>
      </c>
    </row>
    <row r="111" spans="1:11" x14ac:dyDescent="0.2">
      <c r="A111" s="2" t="s">
        <v>59</v>
      </c>
      <c r="B111" s="2">
        <v>89509</v>
      </c>
      <c r="C111" s="2">
        <v>4</v>
      </c>
      <c r="D111">
        <f>VLOOKUP($C111, private_rates!$A$2:$C$9, 2, FALSE)</f>
        <v>0.35</v>
      </c>
      <c r="E111">
        <f>VLOOKUP($C111, private_rates!$A$2:$C$9, 3, FALSE)</f>
        <v>4.6500000000000004</v>
      </c>
      <c r="F111">
        <f>VLOOKUP($C111, published_rates!$A$2:$C$9, 2, FALSE)</f>
        <v>0.41</v>
      </c>
      <c r="G111">
        <f>VLOOKUP($C111, published_rates!$A$2:$C$9, 3, FALSE)</f>
        <v>5</v>
      </c>
      <c r="H111">
        <f>VLOOKUP($B111, demand!$A$2:$C$44, 2, FALSE)</f>
        <v>707.57</v>
      </c>
      <c r="I111">
        <f>VLOOKUP($B111, demand!$A$2:$C$44, 3, FALSE)</f>
        <v>24</v>
      </c>
      <c r="J111" t="str">
        <f>VLOOKUP($B111, distributors!$A$2:$C$44, 2, FALSE)</f>
        <v>Reno</v>
      </c>
      <c r="K111" t="str">
        <f>VLOOKUP($B111, distributors!$A$2:$C$44, 3, FALSE)</f>
        <v>NV</v>
      </c>
    </row>
    <row r="112" spans="1:11" x14ac:dyDescent="0.2">
      <c r="A112" s="2" t="s">
        <v>59</v>
      </c>
      <c r="B112" s="2">
        <v>89822</v>
      </c>
      <c r="C112" s="2">
        <v>3</v>
      </c>
      <c r="D112">
        <f>VLOOKUP($C112, private_rates!$A$2:$C$9, 2, FALSE)</f>
        <v>0.32</v>
      </c>
      <c r="E112">
        <f>VLOOKUP($C112, private_rates!$A$2:$C$9, 3, FALSE)</f>
        <v>4.3</v>
      </c>
      <c r="F112">
        <f>VLOOKUP($C112, published_rates!$A$2:$C$9, 2, FALSE)</f>
        <v>0.37</v>
      </c>
      <c r="G112">
        <f>VLOOKUP($C112, published_rates!$A$2:$C$9, 3, FALSE)</f>
        <v>4.6500000000000004</v>
      </c>
      <c r="H112">
        <f>VLOOKUP($B112, demand!$A$2:$C$44, 2, FALSE)</f>
        <v>449.57000000000005</v>
      </c>
      <c r="I112">
        <f>VLOOKUP($B112, demand!$A$2:$C$44, 3, FALSE)</f>
        <v>15</v>
      </c>
      <c r="J112" t="str">
        <f>VLOOKUP($B112, distributors!$A$2:$C$44, 2, FALSE)</f>
        <v>Carlin</v>
      </c>
      <c r="K112" t="str">
        <f>VLOOKUP($B112, distributors!$A$2:$C$44, 3, FALSE)</f>
        <v>NV</v>
      </c>
    </row>
    <row r="113" spans="1:11" x14ac:dyDescent="0.2">
      <c r="A113" s="2" t="s">
        <v>59</v>
      </c>
      <c r="B113" s="2">
        <v>90061</v>
      </c>
      <c r="C113" s="2">
        <v>3</v>
      </c>
      <c r="D113">
        <f>VLOOKUP($C113, private_rates!$A$2:$C$9, 2, FALSE)</f>
        <v>0.32</v>
      </c>
      <c r="E113">
        <f>VLOOKUP($C113, private_rates!$A$2:$C$9, 3, FALSE)</f>
        <v>4.3</v>
      </c>
      <c r="F113">
        <f>VLOOKUP($C113, published_rates!$A$2:$C$9, 2, FALSE)</f>
        <v>0.37</v>
      </c>
      <c r="G113">
        <f>VLOOKUP($C113, published_rates!$A$2:$C$9, 3, FALSE)</f>
        <v>4.6500000000000004</v>
      </c>
      <c r="H113">
        <f>VLOOKUP($B113, demand!$A$2:$C$44, 2, FALSE)</f>
        <v>1106.2900000000002</v>
      </c>
      <c r="I113">
        <f>VLOOKUP($B113, demand!$A$2:$C$44, 3, FALSE)</f>
        <v>38</v>
      </c>
      <c r="J113" t="str">
        <f>VLOOKUP($B113, distributors!$A$2:$C$44, 2, FALSE)</f>
        <v>Los Angeles</v>
      </c>
      <c r="K113" t="str">
        <f>VLOOKUP($B113, distributors!$A$2:$C$44, 3, FALSE)</f>
        <v>CA</v>
      </c>
    </row>
    <row r="114" spans="1:11" x14ac:dyDescent="0.2">
      <c r="A114" s="2" t="s">
        <v>59</v>
      </c>
      <c r="B114" s="2">
        <v>93030</v>
      </c>
      <c r="C114" s="2">
        <v>3</v>
      </c>
      <c r="D114">
        <f>VLOOKUP($C114, private_rates!$A$2:$C$9, 2, FALSE)</f>
        <v>0.32</v>
      </c>
      <c r="E114">
        <f>VLOOKUP($C114, private_rates!$A$2:$C$9, 3, FALSE)</f>
        <v>4.3</v>
      </c>
      <c r="F114">
        <f>VLOOKUP($C114, published_rates!$A$2:$C$9, 2, FALSE)</f>
        <v>0.37</v>
      </c>
      <c r="G114">
        <f>VLOOKUP($C114, published_rates!$A$2:$C$9, 3, FALSE)</f>
        <v>4.6500000000000004</v>
      </c>
      <c r="H114">
        <f>VLOOKUP($B114, demand!$A$2:$C$44, 2, FALSE)</f>
        <v>716.37</v>
      </c>
      <c r="I114">
        <f>VLOOKUP($B114, demand!$A$2:$C$44, 3, FALSE)</f>
        <v>25</v>
      </c>
      <c r="J114" t="str">
        <f>VLOOKUP($B114, distributors!$A$2:$C$44, 2, FALSE)</f>
        <v>Oxnard</v>
      </c>
      <c r="K114" t="str">
        <f>VLOOKUP($B114, distributors!$A$2:$C$44, 3, FALSE)</f>
        <v>CA</v>
      </c>
    </row>
    <row r="115" spans="1:11" x14ac:dyDescent="0.2">
      <c r="A115" s="2" t="s">
        <v>59</v>
      </c>
      <c r="B115" s="2">
        <v>93427</v>
      </c>
      <c r="C115" s="2">
        <v>3</v>
      </c>
      <c r="D115">
        <f>VLOOKUP($C115, private_rates!$A$2:$C$9, 2, FALSE)</f>
        <v>0.32</v>
      </c>
      <c r="E115">
        <f>VLOOKUP($C115, private_rates!$A$2:$C$9, 3, FALSE)</f>
        <v>4.3</v>
      </c>
      <c r="F115">
        <f>VLOOKUP($C115, published_rates!$A$2:$C$9, 2, FALSE)</f>
        <v>0.37</v>
      </c>
      <c r="G115">
        <f>VLOOKUP($C115, published_rates!$A$2:$C$9, 3, FALSE)</f>
        <v>4.6500000000000004</v>
      </c>
      <c r="H115">
        <f>VLOOKUP($B115, demand!$A$2:$C$44, 2, FALSE)</f>
        <v>571.88000000000011</v>
      </c>
      <c r="I115">
        <f>VLOOKUP($B115, demand!$A$2:$C$44, 3, FALSE)</f>
        <v>18</v>
      </c>
      <c r="J115" t="str">
        <f>VLOOKUP($B115, distributors!$A$2:$C$44, 2, FALSE)</f>
        <v>Buellton</v>
      </c>
      <c r="K115" t="str">
        <f>VLOOKUP($B115, distributors!$A$2:$C$44, 3, FALSE)</f>
        <v>CA</v>
      </c>
    </row>
    <row r="116" spans="1:11" x14ac:dyDescent="0.2">
      <c r="A116" s="2" t="s">
        <v>59</v>
      </c>
      <c r="B116" s="2">
        <v>93703</v>
      </c>
      <c r="C116" s="2">
        <v>3</v>
      </c>
      <c r="D116">
        <f>VLOOKUP($C116, private_rates!$A$2:$C$9, 2, FALSE)</f>
        <v>0.32</v>
      </c>
      <c r="E116">
        <f>VLOOKUP($C116, private_rates!$A$2:$C$9, 3, FALSE)</f>
        <v>4.3</v>
      </c>
      <c r="F116">
        <f>VLOOKUP($C116, published_rates!$A$2:$C$9, 2, FALSE)</f>
        <v>0.37</v>
      </c>
      <c r="G116">
        <f>VLOOKUP($C116, published_rates!$A$2:$C$9, 3, FALSE)</f>
        <v>4.6500000000000004</v>
      </c>
      <c r="H116">
        <f>VLOOKUP($B116, demand!$A$2:$C$44, 2, FALSE)</f>
        <v>1164.45</v>
      </c>
      <c r="I116">
        <f>VLOOKUP($B116, demand!$A$2:$C$44, 3, FALSE)</f>
        <v>39</v>
      </c>
      <c r="J116" t="str">
        <f>VLOOKUP($B116, distributors!$A$2:$C$44, 2, FALSE)</f>
        <v>Fresno</v>
      </c>
      <c r="K116" t="str">
        <f>VLOOKUP($B116, distributors!$A$2:$C$44, 3, FALSE)</f>
        <v>CA</v>
      </c>
    </row>
    <row r="117" spans="1:11" x14ac:dyDescent="0.2">
      <c r="A117" s="2" t="s">
        <v>59</v>
      </c>
      <c r="B117" s="2">
        <v>93906</v>
      </c>
      <c r="C117" s="2">
        <v>4</v>
      </c>
      <c r="D117">
        <f>VLOOKUP($C117, private_rates!$A$2:$C$9, 2, FALSE)</f>
        <v>0.35</v>
      </c>
      <c r="E117">
        <f>VLOOKUP($C117, private_rates!$A$2:$C$9, 3, FALSE)</f>
        <v>4.6500000000000004</v>
      </c>
      <c r="F117">
        <f>VLOOKUP($C117, published_rates!$A$2:$C$9, 2, FALSE)</f>
        <v>0.41</v>
      </c>
      <c r="G117">
        <f>VLOOKUP($C117, published_rates!$A$2:$C$9, 3, FALSE)</f>
        <v>5</v>
      </c>
      <c r="H117">
        <f>VLOOKUP($B117, demand!$A$2:$C$44, 2, FALSE)</f>
        <v>894.16999999999985</v>
      </c>
      <c r="I117">
        <f>VLOOKUP($B117, demand!$A$2:$C$44, 3, FALSE)</f>
        <v>30</v>
      </c>
      <c r="J117" t="str">
        <f>VLOOKUP($B117, distributors!$A$2:$C$44, 2, FALSE)</f>
        <v>Salinas</v>
      </c>
      <c r="K117" t="str">
        <f>VLOOKUP($B117, distributors!$A$2:$C$44, 3, FALSE)</f>
        <v>CA</v>
      </c>
    </row>
    <row r="118" spans="1:11" x14ac:dyDescent="0.2">
      <c r="A118" s="2" t="s">
        <v>59</v>
      </c>
      <c r="B118" s="2">
        <v>94403</v>
      </c>
      <c r="C118" s="2">
        <v>4</v>
      </c>
      <c r="D118">
        <f>VLOOKUP($C118, private_rates!$A$2:$C$9, 2, FALSE)</f>
        <v>0.35</v>
      </c>
      <c r="E118">
        <f>VLOOKUP($C118, private_rates!$A$2:$C$9, 3, FALSE)</f>
        <v>4.6500000000000004</v>
      </c>
      <c r="F118">
        <f>VLOOKUP($C118, published_rates!$A$2:$C$9, 2, FALSE)</f>
        <v>0.41</v>
      </c>
      <c r="G118">
        <f>VLOOKUP($C118, published_rates!$A$2:$C$9, 3, FALSE)</f>
        <v>5</v>
      </c>
      <c r="H118">
        <f>VLOOKUP($B118, demand!$A$2:$C$44, 2, FALSE)</f>
        <v>724.06999999999994</v>
      </c>
      <c r="I118">
        <f>VLOOKUP($B118, demand!$A$2:$C$44, 3, FALSE)</f>
        <v>24</v>
      </c>
      <c r="J118" t="str">
        <f>VLOOKUP($B118, distributors!$A$2:$C$44, 2, FALSE)</f>
        <v>San Mateo</v>
      </c>
      <c r="K118" t="str">
        <f>VLOOKUP($B118, distributors!$A$2:$C$44, 3, FALSE)</f>
        <v>CA</v>
      </c>
    </row>
    <row r="119" spans="1:11" x14ac:dyDescent="0.2">
      <c r="A119" s="2" t="s">
        <v>59</v>
      </c>
      <c r="B119" s="2">
        <v>95051</v>
      </c>
      <c r="C119" s="2">
        <v>4</v>
      </c>
      <c r="D119">
        <f>VLOOKUP($C119, private_rates!$A$2:$C$9, 2, FALSE)</f>
        <v>0.35</v>
      </c>
      <c r="E119">
        <f>VLOOKUP($C119, private_rates!$A$2:$C$9, 3, FALSE)</f>
        <v>4.6500000000000004</v>
      </c>
      <c r="F119">
        <f>VLOOKUP($C119, published_rates!$A$2:$C$9, 2, FALSE)</f>
        <v>0.41</v>
      </c>
      <c r="G119">
        <f>VLOOKUP($C119, published_rates!$A$2:$C$9, 3, FALSE)</f>
        <v>5</v>
      </c>
      <c r="H119">
        <f>VLOOKUP($B119, demand!$A$2:$C$44, 2, FALSE)</f>
        <v>806.2600000000001</v>
      </c>
      <c r="I119">
        <f>VLOOKUP($B119, demand!$A$2:$C$44, 3, FALSE)</f>
        <v>26</v>
      </c>
      <c r="J119" t="str">
        <f>VLOOKUP($B119, distributors!$A$2:$C$44, 2, FALSE)</f>
        <v>Santa Clara</v>
      </c>
      <c r="K119" t="str">
        <f>VLOOKUP($B119, distributors!$A$2:$C$44, 3, FALSE)</f>
        <v>CA</v>
      </c>
    </row>
    <row r="120" spans="1:11" x14ac:dyDescent="0.2">
      <c r="A120" s="2" t="s">
        <v>59</v>
      </c>
      <c r="B120" s="2">
        <v>95993</v>
      </c>
      <c r="C120" s="2">
        <v>4</v>
      </c>
      <c r="D120">
        <f>VLOOKUP($C120, private_rates!$A$2:$C$9, 2, FALSE)</f>
        <v>0.35</v>
      </c>
      <c r="E120">
        <f>VLOOKUP($C120, private_rates!$A$2:$C$9, 3, FALSE)</f>
        <v>4.6500000000000004</v>
      </c>
      <c r="F120">
        <f>VLOOKUP($C120, published_rates!$A$2:$C$9, 2, FALSE)</f>
        <v>0.41</v>
      </c>
      <c r="G120">
        <f>VLOOKUP($C120, published_rates!$A$2:$C$9, 3, FALSE)</f>
        <v>5</v>
      </c>
      <c r="H120">
        <f>VLOOKUP($B120, demand!$A$2:$C$44, 2, FALSE)</f>
        <v>783.16</v>
      </c>
      <c r="I120">
        <f>VLOOKUP($B120, demand!$A$2:$C$44, 3, FALSE)</f>
        <v>26</v>
      </c>
      <c r="J120" t="str">
        <f>VLOOKUP($B120, distributors!$A$2:$C$44, 2, FALSE)</f>
        <v>Yuba City</v>
      </c>
      <c r="K120" t="str">
        <f>VLOOKUP($B120, distributors!$A$2:$C$44, 3, FALSE)</f>
        <v>CA</v>
      </c>
    </row>
    <row r="121" spans="1:11" x14ac:dyDescent="0.2">
      <c r="A121" s="2" t="s">
        <v>59</v>
      </c>
      <c r="B121" s="2">
        <v>96130</v>
      </c>
      <c r="C121" s="2">
        <v>4</v>
      </c>
      <c r="D121">
        <f>VLOOKUP($C121, private_rates!$A$2:$C$9, 2, FALSE)</f>
        <v>0.35</v>
      </c>
      <c r="E121">
        <f>VLOOKUP($C121, private_rates!$A$2:$C$9, 3, FALSE)</f>
        <v>4.6500000000000004</v>
      </c>
      <c r="F121">
        <f>VLOOKUP($C121, published_rates!$A$2:$C$9, 2, FALSE)</f>
        <v>0.41</v>
      </c>
      <c r="G121">
        <f>VLOOKUP($C121, published_rates!$A$2:$C$9, 3, FALSE)</f>
        <v>5</v>
      </c>
      <c r="H121">
        <f>VLOOKUP($B121, demand!$A$2:$C$44, 2, FALSE)</f>
        <v>488.46000000000004</v>
      </c>
      <c r="I121">
        <f>VLOOKUP($B121, demand!$A$2:$C$44, 3, FALSE)</f>
        <v>16</v>
      </c>
      <c r="J121" t="str">
        <f>VLOOKUP($B121, distributors!$A$2:$C$44, 2, FALSE)</f>
        <v>Susanville</v>
      </c>
      <c r="K121" t="str">
        <f>VLOOKUP($B121, distributors!$A$2:$C$44, 3, FALSE)</f>
        <v>CA</v>
      </c>
    </row>
    <row r="122" spans="1:11" x14ac:dyDescent="0.2">
      <c r="A122" s="2" t="s">
        <v>59</v>
      </c>
      <c r="B122" s="2">
        <v>97002</v>
      </c>
      <c r="C122" s="2">
        <v>5</v>
      </c>
      <c r="D122">
        <f>VLOOKUP($C122, private_rates!$A$2:$C$9, 2, FALSE)</f>
        <v>0.4</v>
      </c>
      <c r="E122">
        <f>VLOOKUP($C122, private_rates!$A$2:$C$9, 3, FALSE)</f>
        <v>5</v>
      </c>
      <c r="F122">
        <f>VLOOKUP($C122, published_rates!$A$2:$C$9, 2, FALSE)</f>
        <v>0.46</v>
      </c>
      <c r="G122">
        <f>VLOOKUP($C122, published_rates!$A$2:$C$9, 3, FALSE)</f>
        <v>5.4</v>
      </c>
      <c r="H122">
        <f>VLOOKUP($B122, demand!$A$2:$C$44, 2, FALSE)</f>
        <v>665.41999999999985</v>
      </c>
      <c r="I122">
        <f>VLOOKUP($B122, demand!$A$2:$C$44, 3, FALSE)</f>
        <v>22</v>
      </c>
      <c r="J122" t="str">
        <f>VLOOKUP($B122, distributors!$A$2:$C$44, 2, FALSE)</f>
        <v>Aurora</v>
      </c>
      <c r="K122" t="str">
        <f>VLOOKUP($B122, distributors!$A$2:$C$44, 3, FALSE)</f>
        <v>OR</v>
      </c>
    </row>
    <row r="123" spans="1:11" x14ac:dyDescent="0.2">
      <c r="A123" s="2" t="s">
        <v>59</v>
      </c>
      <c r="B123" s="2">
        <v>97524</v>
      </c>
      <c r="C123" s="2">
        <v>4</v>
      </c>
      <c r="D123">
        <f>VLOOKUP($C123, private_rates!$A$2:$C$9, 2, FALSE)</f>
        <v>0.35</v>
      </c>
      <c r="E123">
        <f>VLOOKUP($C123, private_rates!$A$2:$C$9, 3, FALSE)</f>
        <v>4.6500000000000004</v>
      </c>
      <c r="F123">
        <f>VLOOKUP($C123, published_rates!$A$2:$C$9, 2, FALSE)</f>
        <v>0.41</v>
      </c>
      <c r="G123">
        <f>VLOOKUP($C123, published_rates!$A$2:$C$9, 3, FALSE)</f>
        <v>5</v>
      </c>
      <c r="H123">
        <f>VLOOKUP($B123, demand!$A$2:$C$44, 2, FALSE)</f>
        <v>935.86999999999989</v>
      </c>
      <c r="I123">
        <f>VLOOKUP($B123, demand!$A$2:$C$44, 3, FALSE)</f>
        <v>30</v>
      </c>
      <c r="J123" t="str">
        <f>VLOOKUP($B123, distributors!$A$2:$C$44, 2, FALSE)</f>
        <v>Eagle Point</v>
      </c>
      <c r="K123" t="str">
        <f>VLOOKUP($B123, distributors!$A$2:$C$44, 3, FALSE)</f>
        <v>OR</v>
      </c>
    </row>
    <row r="124" spans="1:11" x14ac:dyDescent="0.2">
      <c r="A124" s="2" t="s">
        <v>59</v>
      </c>
      <c r="B124" s="2">
        <v>97862</v>
      </c>
      <c r="C124" s="2">
        <v>5</v>
      </c>
      <c r="D124">
        <f>VLOOKUP($C124, private_rates!$A$2:$C$9, 2, FALSE)</f>
        <v>0.4</v>
      </c>
      <c r="E124">
        <f>VLOOKUP($C124, private_rates!$A$2:$C$9, 3, FALSE)</f>
        <v>5</v>
      </c>
      <c r="F124">
        <f>VLOOKUP($C124, published_rates!$A$2:$C$9, 2, FALSE)</f>
        <v>0.46</v>
      </c>
      <c r="G124">
        <f>VLOOKUP($C124, published_rates!$A$2:$C$9, 3, FALSE)</f>
        <v>5.4</v>
      </c>
      <c r="H124">
        <f>VLOOKUP($B124, demand!$A$2:$C$44, 2, FALSE)</f>
        <v>817.06</v>
      </c>
      <c r="I124">
        <f>VLOOKUP($B124, demand!$A$2:$C$44, 3, FALSE)</f>
        <v>26</v>
      </c>
      <c r="J124" t="str">
        <f>VLOOKUP($B124, distributors!$A$2:$C$44, 2, FALSE)</f>
        <v>Milton Freewater</v>
      </c>
      <c r="K124" t="str">
        <f>VLOOKUP($B124, distributors!$A$2:$C$44, 3, FALSE)</f>
        <v>OR</v>
      </c>
    </row>
    <row r="125" spans="1:11" x14ac:dyDescent="0.2">
      <c r="A125" s="2" t="s">
        <v>59</v>
      </c>
      <c r="B125" s="2">
        <v>97920</v>
      </c>
      <c r="C125" s="2">
        <v>4</v>
      </c>
      <c r="D125">
        <f>VLOOKUP($C125, private_rates!$A$2:$C$9, 2, FALSE)</f>
        <v>0.35</v>
      </c>
      <c r="E125">
        <f>VLOOKUP($C125, private_rates!$A$2:$C$9, 3, FALSE)</f>
        <v>4.6500000000000004</v>
      </c>
      <c r="F125">
        <f>VLOOKUP($C125, published_rates!$A$2:$C$9, 2, FALSE)</f>
        <v>0.41</v>
      </c>
      <c r="G125">
        <f>VLOOKUP($C125, published_rates!$A$2:$C$9, 3, FALSE)</f>
        <v>5</v>
      </c>
      <c r="H125">
        <f>VLOOKUP($B125, demand!$A$2:$C$44, 2, FALSE)</f>
        <v>546.56999999999994</v>
      </c>
      <c r="I125">
        <f>VLOOKUP($B125, demand!$A$2:$C$44, 3, FALSE)</f>
        <v>16</v>
      </c>
      <c r="J125" t="str">
        <f>VLOOKUP($B125, distributors!$A$2:$C$44, 2, FALSE)</f>
        <v>Westfall</v>
      </c>
      <c r="K125" t="str">
        <f>VLOOKUP($B125, distributors!$A$2:$C$44, 3, FALSE)</f>
        <v>OR</v>
      </c>
    </row>
    <row r="126" spans="1:11" x14ac:dyDescent="0.2">
      <c r="A126" s="2" t="s">
        <v>59</v>
      </c>
      <c r="B126" s="2">
        <v>98059</v>
      </c>
      <c r="C126" s="2">
        <v>5</v>
      </c>
      <c r="D126">
        <f>VLOOKUP($C126, private_rates!$A$2:$C$9, 2, FALSE)</f>
        <v>0.4</v>
      </c>
      <c r="E126">
        <f>VLOOKUP($C126, private_rates!$A$2:$C$9, 3, FALSE)</f>
        <v>5</v>
      </c>
      <c r="F126">
        <f>VLOOKUP($C126, published_rates!$A$2:$C$9, 2, FALSE)</f>
        <v>0.46</v>
      </c>
      <c r="G126">
        <f>VLOOKUP($C126, published_rates!$A$2:$C$9, 3, FALSE)</f>
        <v>5.4</v>
      </c>
      <c r="H126">
        <f>VLOOKUP($B126, demand!$A$2:$C$44, 2, FALSE)</f>
        <v>968.45</v>
      </c>
      <c r="I126">
        <f>VLOOKUP($B126, demand!$A$2:$C$44, 3, FALSE)</f>
        <v>30</v>
      </c>
      <c r="J126" t="str">
        <f>VLOOKUP($B126, distributors!$A$2:$C$44, 2, FALSE)</f>
        <v>Renton</v>
      </c>
      <c r="K126" t="str">
        <f>VLOOKUP($B126, distributors!$A$2:$C$44, 3, FALSE)</f>
        <v>WA</v>
      </c>
    </row>
    <row r="127" spans="1:11" x14ac:dyDescent="0.2">
      <c r="A127" s="2" t="s">
        <v>59</v>
      </c>
      <c r="B127" s="2">
        <v>98248</v>
      </c>
      <c r="C127" s="2">
        <v>5</v>
      </c>
      <c r="D127">
        <f>VLOOKUP($C127, private_rates!$A$2:$C$9, 2, FALSE)</f>
        <v>0.4</v>
      </c>
      <c r="E127">
        <f>VLOOKUP($C127, private_rates!$A$2:$C$9, 3, FALSE)</f>
        <v>5</v>
      </c>
      <c r="F127">
        <f>VLOOKUP($C127, published_rates!$A$2:$C$9, 2, FALSE)</f>
        <v>0.46</v>
      </c>
      <c r="G127">
        <f>VLOOKUP($C127, published_rates!$A$2:$C$9, 3, FALSE)</f>
        <v>5.4</v>
      </c>
      <c r="H127">
        <f>VLOOKUP($B127, demand!$A$2:$C$44, 2, FALSE)</f>
        <v>752.47</v>
      </c>
      <c r="I127">
        <f>VLOOKUP($B127, demand!$A$2:$C$44, 3, FALSE)</f>
        <v>23</v>
      </c>
      <c r="J127" t="str">
        <f>VLOOKUP($B127, distributors!$A$2:$C$44, 2, FALSE)</f>
        <v>Ferndale</v>
      </c>
      <c r="K127" t="str">
        <f>VLOOKUP($B127, distributors!$A$2:$C$44, 3, FALSE)</f>
        <v>WA</v>
      </c>
    </row>
    <row r="128" spans="1:11" x14ac:dyDescent="0.2">
      <c r="A128" s="2" t="s">
        <v>59</v>
      </c>
      <c r="B128" s="2">
        <v>98812</v>
      </c>
      <c r="C128" s="2">
        <v>5</v>
      </c>
      <c r="D128">
        <f>VLOOKUP($C128, private_rates!$A$2:$C$9, 2, FALSE)</f>
        <v>0.4</v>
      </c>
      <c r="E128">
        <f>VLOOKUP($C128, private_rates!$A$2:$C$9, 3, FALSE)</f>
        <v>5</v>
      </c>
      <c r="F128">
        <f>VLOOKUP($C128, published_rates!$A$2:$C$9, 2, FALSE)</f>
        <v>0.46</v>
      </c>
      <c r="G128">
        <f>VLOOKUP($C128, published_rates!$A$2:$C$9, 3, FALSE)</f>
        <v>5.4</v>
      </c>
      <c r="H128">
        <f>VLOOKUP($B128, demand!$A$2:$C$44, 2, FALSE)</f>
        <v>679.12999999999977</v>
      </c>
      <c r="I128">
        <f>VLOOKUP($B128, demand!$A$2:$C$44, 3, FALSE)</f>
        <v>22</v>
      </c>
      <c r="J128" t="str">
        <f>VLOOKUP($B128, distributors!$A$2:$C$44, 2, FALSE)</f>
        <v>Brewster</v>
      </c>
      <c r="K128" t="str">
        <f>VLOOKUP($B128, distributors!$A$2:$C$44, 3, FALSE)</f>
        <v>WA</v>
      </c>
    </row>
    <row r="129" spans="1:11" x14ac:dyDescent="0.2">
      <c r="A129" s="2" t="s">
        <v>59</v>
      </c>
      <c r="B129" s="2">
        <v>99223</v>
      </c>
      <c r="C129" s="2">
        <v>5</v>
      </c>
      <c r="D129">
        <f>VLOOKUP($C129, private_rates!$A$2:$C$9, 2, FALSE)</f>
        <v>0.4</v>
      </c>
      <c r="E129">
        <f>VLOOKUP($C129, private_rates!$A$2:$C$9, 3, FALSE)</f>
        <v>5</v>
      </c>
      <c r="F129">
        <f>VLOOKUP($C129, published_rates!$A$2:$C$9, 2, FALSE)</f>
        <v>0.46</v>
      </c>
      <c r="G129">
        <f>VLOOKUP($C129, published_rates!$A$2:$C$9, 3, FALSE)</f>
        <v>5.4</v>
      </c>
      <c r="H129">
        <f>VLOOKUP($B129, demand!$A$2:$C$44, 2, FALSE)</f>
        <v>669.4</v>
      </c>
      <c r="I129">
        <f>VLOOKUP($B129, demand!$A$2:$C$44, 3, FALSE)</f>
        <v>21</v>
      </c>
      <c r="J129" t="str">
        <f>VLOOKUP($B129, distributors!$A$2:$C$44, 2, FALSE)</f>
        <v>Spokane</v>
      </c>
      <c r="K129" t="str">
        <f>VLOOKUP($B129, distributors!$A$2:$C$44, 3, FALSE)</f>
        <v>WA</v>
      </c>
    </row>
    <row r="130" spans="1:11" x14ac:dyDescent="0.2">
      <c r="A130" s="2" t="s">
        <v>59</v>
      </c>
      <c r="B130" s="2">
        <v>99350</v>
      </c>
      <c r="C130" s="2">
        <v>5</v>
      </c>
      <c r="D130">
        <f>VLOOKUP($C130, private_rates!$A$2:$C$9, 2, FALSE)</f>
        <v>0.4</v>
      </c>
      <c r="E130">
        <f>VLOOKUP($C130, private_rates!$A$2:$C$9, 3, FALSE)</f>
        <v>5</v>
      </c>
      <c r="F130">
        <f>VLOOKUP($C130, published_rates!$A$2:$C$9, 2, FALSE)</f>
        <v>0.46</v>
      </c>
      <c r="G130">
        <f>VLOOKUP($C130, published_rates!$A$2:$C$9, 3, FALSE)</f>
        <v>5.4</v>
      </c>
      <c r="H130">
        <f>VLOOKUP($B130, demand!$A$2:$C$44, 2, FALSE)</f>
        <v>711.80000000000018</v>
      </c>
      <c r="I130">
        <f>VLOOKUP($B130, demand!$A$2:$C$44, 3, FALSE)</f>
        <v>22</v>
      </c>
      <c r="J130" t="str">
        <f>VLOOKUP($B130, distributors!$A$2:$C$44, 2, FALSE)</f>
        <v>Prosser</v>
      </c>
      <c r="K130" t="str">
        <f>VLOOKUP($B130, distributors!$A$2:$C$44, 3, FALSE)</f>
        <v>WA</v>
      </c>
    </row>
    <row r="131" spans="1:11" x14ac:dyDescent="0.2">
      <c r="A131" s="2" t="s">
        <v>60</v>
      </c>
      <c r="B131" s="2">
        <v>59019</v>
      </c>
      <c r="C131" s="2">
        <v>3</v>
      </c>
      <c r="D131">
        <f>VLOOKUP($C131, private_rates!$A$2:$C$9, 2, FALSE)</f>
        <v>0.32</v>
      </c>
      <c r="E131">
        <f>VLOOKUP($C131, private_rates!$A$2:$C$9, 3, FALSE)</f>
        <v>4.3</v>
      </c>
      <c r="F131">
        <f>VLOOKUP($C131, published_rates!$A$2:$C$9, 2, FALSE)</f>
        <v>0.37</v>
      </c>
      <c r="G131">
        <f>VLOOKUP($C131, published_rates!$A$2:$C$9, 3, FALSE)</f>
        <v>4.6500000000000004</v>
      </c>
      <c r="H131">
        <f>VLOOKUP($B131, demand!$A$2:$C$44, 2, FALSE)</f>
        <v>779.83999999999992</v>
      </c>
      <c r="I131">
        <f>VLOOKUP($B131, demand!$A$2:$C$44, 3, FALSE)</f>
        <v>30</v>
      </c>
      <c r="J131" t="str">
        <f>VLOOKUP($B131, distributors!$A$2:$C$44, 2, FALSE)</f>
        <v>Columbus</v>
      </c>
      <c r="K131" t="str">
        <f>VLOOKUP($B131, distributors!$A$2:$C$44, 3, FALSE)</f>
        <v>MT</v>
      </c>
    </row>
    <row r="132" spans="1:11" x14ac:dyDescent="0.2">
      <c r="A132" s="2" t="s">
        <v>60</v>
      </c>
      <c r="B132" s="2">
        <v>59634</v>
      </c>
      <c r="C132" s="2">
        <v>3</v>
      </c>
      <c r="D132">
        <f>VLOOKUP($C132, private_rates!$A$2:$C$9, 2, FALSE)</f>
        <v>0.32</v>
      </c>
      <c r="E132">
        <f>VLOOKUP($C132, private_rates!$A$2:$C$9, 3, FALSE)</f>
        <v>4.3</v>
      </c>
      <c r="F132">
        <f>VLOOKUP($C132, published_rates!$A$2:$C$9, 2, FALSE)</f>
        <v>0.37</v>
      </c>
      <c r="G132">
        <f>VLOOKUP($C132, published_rates!$A$2:$C$9, 3, FALSE)</f>
        <v>4.6500000000000004</v>
      </c>
      <c r="H132">
        <f>VLOOKUP($B132, demand!$A$2:$C$44, 2, FALSE)</f>
        <v>730.32999999999993</v>
      </c>
      <c r="I132">
        <f>VLOOKUP($B132, demand!$A$2:$C$44, 3, FALSE)</f>
        <v>29</v>
      </c>
      <c r="J132" t="str">
        <f>VLOOKUP($B132, distributors!$A$2:$C$44, 2, FALSE)</f>
        <v>Clancy</v>
      </c>
      <c r="K132" t="str">
        <f>VLOOKUP($B132, distributors!$A$2:$C$44, 3, FALSE)</f>
        <v>MT</v>
      </c>
    </row>
    <row r="133" spans="1:11" x14ac:dyDescent="0.2">
      <c r="A133" s="2" t="s">
        <v>60</v>
      </c>
      <c r="B133" s="2">
        <v>59808</v>
      </c>
      <c r="C133" s="2">
        <v>3</v>
      </c>
      <c r="D133">
        <f>VLOOKUP($C133, private_rates!$A$2:$C$9, 2, FALSE)</f>
        <v>0.32</v>
      </c>
      <c r="E133">
        <f>VLOOKUP($C133, private_rates!$A$2:$C$9, 3, FALSE)</f>
        <v>4.3</v>
      </c>
      <c r="F133">
        <f>VLOOKUP($C133, published_rates!$A$2:$C$9, 2, FALSE)</f>
        <v>0.37</v>
      </c>
      <c r="G133">
        <f>VLOOKUP($C133, published_rates!$A$2:$C$9, 3, FALSE)</f>
        <v>4.6500000000000004</v>
      </c>
      <c r="H133">
        <f>VLOOKUP($B133, demand!$A$2:$C$44, 2, FALSE)</f>
        <v>568.34</v>
      </c>
      <c r="I133">
        <f>VLOOKUP($B133, demand!$A$2:$C$44, 3, FALSE)</f>
        <v>23</v>
      </c>
      <c r="J133" t="str">
        <f>VLOOKUP($B133, distributors!$A$2:$C$44, 2, FALSE)</f>
        <v>Missoula</v>
      </c>
      <c r="K133" t="str">
        <f>VLOOKUP($B133, distributors!$A$2:$C$44, 3, FALSE)</f>
        <v>MT</v>
      </c>
    </row>
    <row r="134" spans="1:11" x14ac:dyDescent="0.2">
      <c r="A134" s="2" t="s">
        <v>60</v>
      </c>
      <c r="B134" s="2">
        <v>81321</v>
      </c>
      <c r="C134" s="2">
        <v>4</v>
      </c>
      <c r="D134">
        <f>VLOOKUP($C134, private_rates!$A$2:$C$9, 2, FALSE)</f>
        <v>0.35</v>
      </c>
      <c r="E134">
        <f>VLOOKUP($C134, private_rates!$A$2:$C$9, 3, FALSE)</f>
        <v>4.6500000000000004</v>
      </c>
      <c r="F134">
        <f>VLOOKUP($C134, published_rates!$A$2:$C$9, 2, FALSE)</f>
        <v>0.41</v>
      </c>
      <c r="G134">
        <f>VLOOKUP($C134, published_rates!$A$2:$C$9, 3, FALSE)</f>
        <v>5</v>
      </c>
      <c r="H134">
        <f>VLOOKUP($B134, demand!$A$2:$C$44, 2, FALSE)</f>
        <v>759</v>
      </c>
      <c r="I134">
        <f>VLOOKUP($B134, demand!$A$2:$C$44, 3, FALSE)</f>
        <v>32</v>
      </c>
      <c r="J134" t="str">
        <f>VLOOKUP($B134, distributors!$A$2:$C$44, 2, FALSE)</f>
        <v>Cortez</v>
      </c>
      <c r="K134" t="str">
        <f>VLOOKUP($B134, distributors!$A$2:$C$44, 3, FALSE)</f>
        <v>CO</v>
      </c>
    </row>
    <row r="135" spans="1:11" x14ac:dyDescent="0.2">
      <c r="A135" s="2" t="s">
        <v>60</v>
      </c>
      <c r="B135" s="2">
        <v>81416</v>
      </c>
      <c r="C135" s="2">
        <v>4</v>
      </c>
      <c r="D135">
        <f>VLOOKUP($C135, private_rates!$A$2:$C$9, 2, FALSE)</f>
        <v>0.35</v>
      </c>
      <c r="E135">
        <f>VLOOKUP($C135, private_rates!$A$2:$C$9, 3, FALSE)</f>
        <v>4.6500000000000004</v>
      </c>
      <c r="F135">
        <f>VLOOKUP($C135, published_rates!$A$2:$C$9, 2, FALSE)</f>
        <v>0.41</v>
      </c>
      <c r="G135">
        <f>VLOOKUP($C135, published_rates!$A$2:$C$9, 3, FALSE)</f>
        <v>5</v>
      </c>
      <c r="H135">
        <f>VLOOKUP($B135, demand!$A$2:$C$44, 2, FALSE)</f>
        <v>976.23</v>
      </c>
      <c r="I135">
        <f>VLOOKUP($B135, demand!$A$2:$C$44, 3, FALSE)</f>
        <v>37</v>
      </c>
      <c r="J135" t="str">
        <f>VLOOKUP($B135, distributors!$A$2:$C$44, 2, FALSE)</f>
        <v>Delta</v>
      </c>
      <c r="K135" t="str">
        <f>VLOOKUP($B135, distributors!$A$2:$C$44, 3, FALSE)</f>
        <v>CO</v>
      </c>
    </row>
    <row r="136" spans="1:11" x14ac:dyDescent="0.2">
      <c r="A136" s="2" t="s">
        <v>60</v>
      </c>
      <c r="B136" s="2">
        <v>81504</v>
      </c>
      <c r="C136" s="2">
        <v>3</v>
      </c>
      <c r="D136">
        <f>VLOOKUP($C136, private_rates!$A$2:$C$9, 2, FALSE)</f>
        <v>0.32</v>
      </c>
      <c r="E136">
        <f>VLOOKUP($C136, private_rates!$A$2:$C$9, 3, FALSE)</f>
        <v>4.3</v>
      </c>
      <c r="F136">
        <f>VLOOKUP($C136, published_rates!$A$2:$C$9, 2, FALSE)</f>
        <v>0.37</v>
      </c>
      <c r="G136">
        <f>VLOOKUP($C136, published_rates!$A$2:$C$9, 3, FALSE)</f>
        <v>4.6500000000000004</v>
      </c>
      <c r="H136">
        <f>VLOOKUP($B136, demand!$A$2:$C$44, 2, FALSE)</f>
        <v>860.19000000000028</v>
      </c>
      <c r="I136">
        <f>VLOOKUP($B136, demand!$A$2:$C$44, 3, FALSE)</f>
        <v>32</v>
      </c>
      <c r="J136" t="str">
        <f>VLOOKUP($B136, distributors!$A$2:$C$44, 2, FALSE)</f>
        <v>Grand Junction</v>
      </c>
      <c r="K136" t="str">
        <f>VLOOKUP($B136, distributors!$A$2:$C$44, 3, FALSE)</f>
        <v>CO</v>
      </c>
    </row>
    <row r="137" spans="1:11" x14ac:dyDescent="0.2">
      <c r="A137" s="2" t="s">
        <v>60</v>
      </c>
      <c r="B137" s="2">
        <v>81650</v>
      </c>
      <c r="C137" s="2">
        <v>4</v>
      </c>
      <c r="D137">
        <f>VLOOKUP($C137, private_rates!$A$2:$C$9, 2, FALSE)</f>
        <v>0.35</v>
      </c>
      <c r="E137">
        <f>VLOOKUP($C137, private_rates!$A$2:$C$9, 3, FALSE)</f>
        <v>4.6500000000000004</v>
      </c>
      <c r="F137">
        <f>VLOOKUP($C137, published_rates!$A$2:$C$9, 2, FALSE)</f>
        <v>0.41</v>
      </c>
      <c r="G137">
        <f>VLOOKUP($C137, published_rates!$A$2:$C$9, 3, FALSE)</f>
        <v>5</v>
      </c>
      <c r="H137">
        <f>VLOOKUP($B137, demand!$A$2:$C$44, 2, FALSE)</f>
        <v>585.81000000000006</v>
      </c>
      <c r="I137">
        <f>VLOOKUP($B137, demand!$A$2:$C$44, 3, FALSE)</f>
        <v>22</v>
      </c>
      <c r="J137" t="str">
        <f>VLOOKUP($B137, distributors!$A$2:$C$44, 2, FALSE)</f>
        <v>Rifle</v>
      </c>
      <c r="K137" t="str">
        <f>VLOOKUP($B137, distributors!$A$2:$C$44, 3, FALSE)</f>
        <v>CO</v>
      </c>
    </row>
    <row r="138" spans="1:11" x14ac:dyDescent="0.2">
      <c r="A138" s="2" t="s">
        <v>60</v>
      </c>
      <c r="B138" s="2">
        <v>83014</v>
      </c>
      <c r="C138" s="2">
        <v>2</v>
      </c>
      <c r="D138">
        <f>VLOOKUP($C138, private_rates!$A$2:$C$9, 2, FALSE)</f>
        <v>0.28000000000000003</v>
      </c>
      <c r="E138">
        <f>VLOOKUP($C138, private_rates!$A$2:$C$9, 3, FALSE)</f>
        <v>4</v>
      </c>
      <c r="F138">
        <f>VLOOKUP($C138, published_rates!$A$2:$C$9, 2, FALSE)</f>
        <v>0.33</v>
      </c>
      <c r="G138">
        <f>VLOOKUP($C138, published_rates!$A$2:$C$9, 3, FALSE)</f>
        <v>4.2</v>
      </c>
      <c r="H138">
        <f>VLOOKUP($B138, demand!$A$2:$C$44, 2, FALSE)</f>
        <v>412.08000000000004</v>
      </c>
      <c r="I138">
        <f>VLOOKUP($B138, demand!$A$2:$C$44, 3, FALSE)</f>
        <v>15</v>
      </c>
      <c r="J138" t="str">
        <f>VLOOKUP($B138, distributors!$A$2:$C$44, 2, FALSE)</f>
        <v>Wilson</v>
      </c>
      <c r="K138" t="str">
        <f>VLOOKUP($B138, distributors!$A$2:$C$44, 3, FALSE)</f>
        <v>WY</v>
      </c>
    </row>
    <row r="139" spans="1:11" x14ac:dyDescent="0.2">
      <c r="A139" s="2" t="s">
        <v>60</v>
      </c>
      <c r="B139" s="2">
        <v>83338</v>
      </c>
      <c r="C139" s="2">
        <v>2</v>
      </c>
      <c r="D139">
        <f>VLOOKUP($C139, private_rates!$A$2:$C$9, 2, FALSE)</f>
        <v>0.28000000000000003</v>
      </c>
      <c r="E139">
        <f>VLOOKUP($C139, private_rates!$A$2:$C$9, 3, FALSE)</f>
        <v>4</v>
      </c>
      <c r="F139">
        <f>VLOOKUP($C139, published_rates!$A$2:$C$9, 2, FALSE)</f>
        <v>0.33</v>
      </c>
      <c r="G139">
        <f>VLOOKUP($C139, published_rates!$A$2:$C$9, 3, FALSE)</f>
        <v>4.2</v>
      </c>
      <c r="H139">
        <f>VLOOKUP($B139, demand!$A$2:$C$44, 2, FALSE)</f>
        <v>546.12999999999988</v>
      </c>
      <c r="I139">
        <f>VLOOKUP($B139, demand!$A$2:$C$44, 3, FALSE)</f>
        <v>21</v>
      </c>
      <c r="J139" t="str">
        <f>VLOOKUP($B139, distributors!$A$2:$C$44, 2, FALSE)</f>
        <v>Jerome</v>
      </c>
      <c r="K139" t="str">
        <f>VLOOKUP($B139, distributors!$A$2:$C$44, 3, FALSE)</f>
        <v>ID</v>
      </c>
    </row>
    <row r="140" spans="1:11" x14ac:dyDescent="0.2">
      <c r="A140" s="2" t="s">
        <v>60</v>
      </c>
      <c r="B140" s="2">
        <v>83544</v>
      </c>
      <c r="C140" s="2">
        <v>4</v>
      </c>
      <c r="D140">
        <f>VLOOKUP($C140, private_rates!$A$2:$C$9, 2, FALSE)</f>
        <v>0.35</v>
      </c>
      <c r="E140">
        <f>VLOOKUP($C140, private_rates!$A$2:$C$9, 3, FALSE)</f>
        <v>4.6500000000000004</v>
      </c>
      <c r="F140">
        <f>VLOOKUP($C140, published_rates!$A$2:$C$9, 2, FALSE)</f>
        <v>0.41</v>
      </c>
      <c r="G140">
        <f>VLOOKUP($C140, published_rates!$A$2:$C$9, 3, FALSE)</f>
        <v>5</v>
      </c>
      <c r="H140">
        <f>VLOOKUP($B140, demand!$A$2:$C$44, 2, FALSE)</f>
        <v>599.47</v>
      </c>
      <c r="I140">
        <f>VLOOKUP($B140, demand!$A$2:$C$44, 3, FALSE)</f>
        <v>22</v>
      </c>
      <c r="J140" t="str">
        <f>VLOOKUP($B140, distributors!$A$2:$C$44, 2, FALSE)</f>
        <v>Orofino</v>
      </c>
      <c r="K140" t="str">
        <f>VLOOKUP($B140, distributors!$A$2:$C$44, 3, FALSE)</f>
        <v>ID</v>
      </c>
    </row>
    <row r="141" spans="1:11" x14ac:dyDescent="0.2">
      <c r="A141" s="2" t="s">
        <v>60</v>
      </c>
      <c r="B141" s="2">
        <v>83638</v>
      </c>
      <c r="C141" s="2">
        <v>3</v>
      </c>
      <c r="D141">
        <f>VLOOKUP($C141, private_rates!$A$2:$C$9, 2, FALSE)</f>
        <v>0.32</v>
      </c>
      <c r="E141">
        <f>VLOOKUP($C141, private_rates!$A$2:$C$9, 3, FALSE)</f>
        <v>4.3</v>
      </c>
      <c r="F141">
        <f>VLOOKUP($C141, published_rates!$A$2:$C$9, 2, FALSE)</f>
        <v>0.37</v>
      </c>
      <c r="G141">
        <f>VLOOKUP($C141, published_rates!$A$2:$C$9, 3, FALSE)</f>
        <v>4.6500000000000004</v>
      </c>
      <c r="H141">
        <f>VLOOKUP($B141, demand!$A$2:$C$44, 2, FALSE)</f>
        <v>853.4100000000002</v>
      </c>
      <c r="I141">
        <f>VLOOKUP($B141, demand!$A$2:$C$44, 3, FALSE)</f>
        <v>30</v>
      </c>
      <c r="J141" t="str">
        <f>VLOOKUP($B141, distributors!$A$2:$C$44, 2, FALSE)</f>
        <v>McCall</v>
      </c>
      <c r="K141" t="str">
        <f>VLOOKUP($B141, distributors!$A$2:$C$44, 3, FALSE)</f>
        <v>ID</v>
      </c>
    </row>
    <row r="142" spans="1:11" x14ac:dyDescent="0.2">
      <c r="A142" s="2" t="s">
        <v>60</v>
      </c>
      <c r="B142" s="2">
        <v>83706</v>
      </c>
      <c r="C142" s="2">
        <v>3</v>
      </c>
      <c r="D142">
        <f>VLOOKUP($C142, private_rates!$A$2:$C$9, 2, FALSE)</f>
        <v>0.32</v>
      </c>
      <c r="E142">
        <f>VLOOKUP($C142, private_rates!$A$2:$C$9, 3, FALSE)</f>
        <v>4.3</v>
      </c>
      <c r="F142">
        <f>VLOOKUP($C142, published_rates!$A$2:$C$9, 2, FALSE)</f>
        <v>0.37</v>
      </c>
      <c r="G142">
        <f>VLOOKUP($C142, published_rates!$A$2:$C$9, 3, FALSE)</f>
        <v>4.6500000000000004</v>
      </c>
      <c r="H142">
        <f>VLOOKUP($B142, demand!$A$2:$C$44, 2, FALSE)</f>
        <v>518.5200000000001</v>
      </c>
      <c r="I142">
        <f>VLOOKUP($B142, demand!$A$2:$C$44, 3, FALSE)</f>
        <v>18</v>
      </c>
      <c r="J142" t="str">
        <f>VLOOKUP($B142, distributors!$A$2:$C$44, 2, FALSE)</f>
        <v>Boise</v>
      </c>
      <c r="K142" t="str">
        <f>VLOOKUP($B142, distributors!$A$2:$C$44, 3, FALSE)</f>
        <v>ID</v>
      </c>
    </row>
    <row r="143" spans="1:11" x14ac:dyDescent="0.2">
      <c r="A143" s="2" t="s">
        <v>60</v>
      </c>
      <c r="B143" s="2">
        <v>84003</v>
      </c>
      <c r="C143" s="2">
        <v>2</v>
      </c>
      <c r="D143">
        <f>VLOOKUP($C143, private_rates!$A$2:$C$9, 2, FALSE)</f>
        <v>0.28000000000000003</v>
      </c>
      <c r="E143">
        <f>VLOOKUP($C143, private_rates!$A$2:$C$9, 3, FALSE)</f>
        <v>4</v>
      </c>
      <c r="F143">
        <f>VLOOKUP($C143, published_rates!$A$2:$C$9, 2, FALSE)</f>
        <v>0.33</v>
      </c>
      <c r="G143">
        <f>VLOOKUP($C143, published_rates!$A$2:$C$9, 3, FALSE)</f>
        <v>4.2</v>
      </c>
      <c r="H143">
        <f>VLOOKUP($B143, demand!$A$2:$C$44, 2, FALSE)</f>
        <v>706.61</v>
      </c>
      <c r="I143">
        <f>VLOOKUP($B143, demand!$A$2:$C$44, 3, FALSE)</f>
        <v>25</v>
      </c>
      <c r="J143" t="str">
        <f>VLOOKUP($B143, distributors!$A$2:$C$44, 2, FALSE)</f>
        <v>American Fork</v>
      </c>
      <c r="K143" t="str">
        <f>VLOOKUP($B143, distributors!$A$2:$C$44, 3, FALSE)</f>
        <v>UT</v>
      </c>
    </row>
    <row r="144" spans="1:11" x14ac:dyDescent="0.2">
      <c r="A144" s="2" t="s">
        <v>60</v>
      </c>
      <c r="B144" s="2">
        <v>84414</v>
      </c>
      <c r="C144" s="2">
        <v>2</v>
      </c>
      <c r="D144">
        <f>VLOOKUP($C144, private_rates!$A$2:$C$9, 2, FALSE)</f>
        <v>0.28000000000000003</v>
      </c>
      <c r="E144">
        <f>VLOOKUP($C144, private_rates!$A$2:$C$9, 3, FALSE)</f>
        <v>4</v>
      </c>
      <c r="F144">
        <f>VLOOKUP($C144, published_rates!$A$2:$C$9, 2, FALSE)</f>
        <v>0.33</v>
      </c>
      <c r="G144">
        <f>VLOOKUP($C144, published_rates!$A$2:$C$9, 3, FALSE)</f>
        <v>4.2</v>
      </c>
      <c r="H144">
        <f>VLOOKUP($B144, demand!$A$2:$C$44, 2, FALSE)</f>
        <v>613.67000000000007</v>
      </c>
      <c r="I144">
        <f>VLOOKUP($B144, demand!$A$2:$C$44, 3, FALSE)</f>
        <v>22</v>
      </c>
      <c r="J144" t="str">
        <f>VLOOKUP($B144, distributors!$A$2:$C$44, 2, FALSE)</f>
        <v>Ogden</v>
      </c>
      <c r="K144" t="str">
        <f>VLOOKUP($B144, distributors!$A$2:$C$44, 3, FALSE)</f>
        <v>UT</v>
      </c>
    </row>
    <row r="145" spans="1:11" x14ac:dyDescent="0.2">
      <c r="A145" s="2" t="s">
        <v>60</v>
      </c>
      <c r="B145" s="2">
        <v>84532</v>
      </c>
      <c r="C145" s="2">
        <v>3</v>
      </c>
      <c r="D145">
        <f>VLOOKUP($C145, private_rates!$A$2:$C$9, 2, FALSE)</f>
        <v>0.32</v>
      </c>
      <c r="E145">
        <f>VLOOKUP($C145, private_rates!$A$2:$C$9, 3, FALSE)</f>
        <v>4.3</v>
      </c>
      <c r="F145">
        <f>VLOOKUP($C145, published_rates!$A$2:$C$9, 2, FALSE)</f>
        <v>0.37</v>
      </c>
      <c r="G145">
        <f>VLOOKUP($C145, published_rates!$A$2:$C$9, 3, FALSE)</f>
        <v>4.6500000000000004</v>
      </c>
      <c r="H145">
        <f>VLOOKUP($B145, demand!$A$2:$C$44, 2, FALSE)</f>
        <v>339.5</v>
      </c>
      <c r="I145">
        <f>VLOOKUP($B145, demand!$A$2:$C$44, 3, FALSE)</f>
        <v>11</v>
      </c>
      <c r="J145" t="str">
        <f>VLOOKUP($B145, distributors!$A$2:$C$44, 2, FALSE)</f>
        <v>Moab</v>
      </c>
      <c r="K145" t="str">
        <f>VLOOKUP($B145, distributors!$A$2:$C$44, 3, FALSE)</f>
        <v>UT</v>
      </c>
    </row>
    <row r="146" spans="1:11" x14ac:dyDescent="0.2">
      <c r="A146" s="2" t="s">
        <v>60</v>
      </c>
      <c r="B146" s="2">
        <v>84780</v>
      </c>
      <c r="C146" s="2">
        <v>3</v>
      </c>
      <c r="D146">
        <f>VLOOKUP($C146, private_rates!$A$2:$C$9, 2, FALSE)</f>
        <v>0.32</v>
      </c>
      <c r="E146">
        <f>VLOOKUP($C146, private_rates!$A$2:$C$9, 3, FALSE)</f>
        <v>4.3</v>
      </c>
      <c r="F146">
        <f>VLOOKUP($C146, published_rates!$A$2:$C$9, 2, FALSE)</f>
        <v>0.37</v>
      </c>
      <c r="G146">
        <f>VLOOKUP($C146, published_rates!$A$2:$C$9, 3, FALSE)</f>
        <v>4.6500000000000004</v>
      </c>
      <c r="H146">
        <f>VLOOKUP($B146, demand!$A$2:$C$44, 2, FALSE)</f>
        <v>648.88</v>
      </c>
      <c r="I146">
        <f>VLOOKUP($B146, demand!$A$2:$C$44, 3, FALSE)</f>
        <v>22</v>
      </c>
      <c r="J146" t="str">
        <f>VLOOKUP($B146, distributors!$A$2:$C$44, 2, FALSE)</f>
        <v>Washington</v>
      </c>
      <c r="K146" t="str">
        <f>VLOOKUP($B146, distributors!$A$2:$C$44, 3, FALSE)</f>
        <v>UT</v>
      </c>
    </row>
    <row r="147" spans="1:11" x14ac:dyDescent="0.2">
      <c r="A147" s="2" t="s">
        <v>60</v>
      </c>
      <c r="B147" s="2">
        <v>85012</v>
      </c>
      <c r="C147" s="2">
        <v>5</v>
      </c>
      <c r="D147">
        <f>VLOOKUP($C147, private_rates!$A$2:$C$9, 2, FALSE)</f>
        <v>0.4</v>
      </c>
      <c r="E147">
        <f>VLOOKUP($C147, private_rates!$A$2:$C$9, 3, FALSE)</f>
        <v>5</v>
      </c>
      <c r="F147">
        <f>VLOOKUP($C147, published_rates!$A$2:$C$9, 2, FALSE)</f>
        <v>0.46</v>
      </c>
      <c r="G147">
        <f>VLOOKUP($C147, published_rates!$A$2:$C$9, 3, FALSE)</f>
        <v>5.4</v>
      </c>
      <c r="H147">
        <f>VLOOKUP($B147, demand!$A$2:$C$44, 2, FALSE)</f>
        <v>685.8499999999998</v>
      </c>
      <c r="I147">
        <f>VLOOKUP($B147, demand!$A$2:$C$44, 3, FALSE)</f>
        <v>25</v>
      </c>
      <c r="J147" t="str">
        <f>VLOOKUP($B147, distributors!$A$2:$C$44, 2, FALSE)</f>
        <v>Phoeniz</v>
      </c>
      <c r="K147" t="str">
        <f>VLOOKUP($B147, distributors!$A$2:$C$44, 3, FALSE)</f>
        <v>AZ</v>
      </c>
    </row>
    <row r="148" spans="1:11" x14ac:dyDescent="0.2">
      <c r="A148" s="2" t="s">
        <v>60</v>
      </c>
      <c r="B148" s="2">
        <v>86004</v>
      </c>
      <c r="C148" s="2">
        <v>4</v>
      </c>
      <c r="D148">
        <f>VLOOKUP($C148, private_rates!$A$2:$C$9, 2, FALSE)</f>
        <v>0.35</v>
      </c>
      <c r="E148">
        <f>VLOOKUP($C148, private_rates!$A$2:$C$9, 3, FALSE)</f>
        <v>4.6500000000000004</v>
      </c>
      <c r="F148">
        <f>VLOOKUP($C148, published_rates!$A$2:$C$9, 2, FALSE)</f>
        <v>0.41</v>
      </c>
      <c r="G148">
        <f>VLOOKUP($C148, published_rates!$A$2:$C$9, 3, FALSE)</f>
        <v>5</v>
      </c>
      <c r="H148">
        <f>VLOOKUP($B148, demand!$A$2:$C$44, 2, FALSE)</f>
        <v>654.43000000000006</v>
      </c>
      <c r="I148">
        <f>VLOOKUP($B148, demand!$A$2:$C$44, 3, FALSE)</f>
        <v>24</v>
      </c>
      <c r="J148" t="str">
        <f>VLOOKUP($B148, distributors!$A$2:$C$44, 2, FALSE)</f>
        <v>Flagstaff</v>
      </c>
      <c r="K148" t="str">
        <f>VLOOKUP($B148, distributors!$A$2:$C$44, 3, FALSE)</f>
        <v>AZ</v>
      </c>
    </row>
    <row r="149" spans="1:11" x14ac:dyDescent="0.2">
      <c r="A149" s="2" t="s">
        <v>60</v>
      </c>
      <c r="B149" s="2">
        <v>86042</v>
      </c>
      <c r="C149" s="2">
        <v>4</v>
      </c>
      <c r="D149">
        <f>VLOOKUP($C149, private_rates!$A$2:$C$9, 2, FALSE)</f>
        <v>0.35</v>
      </c>
      <c r="E149">
        <f>VLOOKUP($C149, private_rates!$A$2:$C$9, 3, FALSE)</f>
        <v>4.6500000000000004</v>
      </c>
      <c r="F149">
        <f>VLOOKUP($C149, published_rates!$A$2:$C$9, 2, FALSE)</f>
        <v>0.41</v>
      </c>
      <c r="G149">
        <f>VLOOKUP($C149, published_rates!$A$2:$C$9, 3, FALSE)</f>
        <v>5</v>
      </c>
      <c r="H149">
        <f>VLOOKUP($B149, demand!$A$2:$C$44, 2, FALSE)</f>
        <v>522.40000000000009</v>
      </c>
      <c r="I149">
        <f>VLOOKUP($B149, demand!$A$2:$C$44, 3, FALSE)</f>
        <v>18</v>
      </c>
      <c r="J149" t="str">
        <f>VLOOKUP($B149, distributors!$A$2:$C$44, 2, FALSE)</f>
        <v>Polacca</v>
      </c>
      <c r="K149" t="str">
        <f>VLOOKUP($B149, distributors!$A$2:$C$44, 3, FALSE)</f>
        <v>AZ</v>
      </c>
    </row>
    <row r="150" spans="1:11" x14ac:dyDescent="0.2">
      <c r="A150" s="2" t="s">
        <v>60</v>
      </c>
      <c r="B150" s="2">
        <v>86314</v>
      </c>
      <c r="C150" s="2">
        <v>4</v>
      </c>
      <c r="D150">
        <f>VLOOKUP($C150, private_rates!$A$2:$C$9, 2, FALSE)</f>
        <v>0.35</v>
      </c>
      <c r="E150">
        <f>VLOOKUP($C150, private_rates!$A$2:$C$9, 3, FALSE)</f>
        <v>4.6500000000000004</v>
      </c>
      <c r="F150">
        <f>VLOOKUP($C150, published_rates!$A$2:$C$9, 2, FALSE)</f>
        <v>0.41</v>
      </c>
      <c r="G150">
        <f>VLOOKUP($C150, published_rates!$A$2:$C$9, 3, FALSE)</f>
        <v>5</v>
      </c>
      <c r="H150">
        <f>VLOOKUP($B150, demand!$A$2:$C$44, 2, FALSE)</f>
        <v>788.67000000000019</v>
      </c>
      <c r="I150">
        <f>VLOOKUP($B150, demand!$A$2:$C$44, 3, FALSE)</f>
        <v>27</v>
      </c>
      <c r="J150" t="str">
        <f>VLOOKUP($B150, distributors!$A$2:$C$44, 2, FALSE)</f>
        <v>Prescott Valley</v>
      </c>
      <c r="K150" t="str">
        <f>VLOOKUP($B150, distributors!$A$2:$C$44, 3, FALSE)</f>
        <v>AZ</v>
      </c>
    </row>
    <row r="151" spans="1:11" x14ac:dyDescent="0.2">
      <c r="A151" s="2" t="s">
        <v>60</v>
      </c>
      <c r="B151" s="2">
        <v>86426</v>
      </c>
      <c r="C151" s="2">
        <v>4</v>
      </c>
      <c r="D151">
        <f>VLOOKUP($C151, private_rates!$A$2:$C$9, 2, FALSE)</f>
        <v>0.35</v>
      </c>
      <c r="E151">
        <f>VLOOKUP($C151, private_rates!$A$2:$C$9, 3, FALSE)</f>
        <v>4.6500000000000004</v>
      </c>
      <c r="F151">
        <f>VLOOKUP($C151, published_rates!$A$2:$C$9, 2, FALSE)</f>
        <v>0.41</v>
      </c>
      <c r="G151">
        <f>VLOOKUP($C151, published_rates!$A$2:$C$9, 3, FALSE)</f>
        <v>5</v>
      </c>
      <c r="H151">
        <f>VLOOKUP($B151, demand!$A$2:$C$44, 2, FALSE)</f>
        <v>743.05000000000007</v>
      </c>
      <c r="I151">
        <f>VLOOKUP($B151, demand!$A$2:$C$44, 3, FALSE)</f>
        <v>26</v>
      </c>
      <c r="J151" t="str">
        <f>VLOOKUP($B151, distributors!$A$2:$C$44, 2, FALSE)</f>
        <v>Fort Mohave</v>
      </c>
      <c r="K151" t="str">
        <f>VLOOKUP($B151, distributors!$A$2:$C$44, 3, FALSE)</f>
        <v>AZ</v>
      </c>
    </row>
    <row r="152" spans="1:11" x14ac:dyDescent="0.2">
      <c r="A152" s="2" t="s">
        <v>60</v>
      </c>
      <c r="B152" s="2">
        <v>89104</v>
      </c>
      <c r="C152" s="2">
        <v>4</v>
      </c>
      <c r="D152">
        <f>VLOOKUP($C152, private_rates!$A$2:$C$9, 2, FALSE)</f>
        <v>0.35</v>
      </c>
      <c r="E152">
        <f>VLOOKUP($C152, private_rates!$A$2:$C$9, 3, FALSE)</f>
        <v>4.6500000000000004</v>
      </c>
      <c r="F152">
        <f>VLOOKUP($C152, published_rates!$A$2:$C$9, 2, FALSE)</f>
        <v>0.41</v>
      </c>
      <c r="G152">
        <f>VLOOKUP($C152, published_rates!$A$2:$C$9, 3, FALSE)</f>
        <v>5</v>
      </c>
      <c r="H152">
        <f>VLOOKUP($B152, demand!$A$2:$C$44, 2, FALSE)</f>
        <v>1033.9699999999998</v>
      </c>
      <c r="I152">
        <f>VLOOKUP($B152, demand!$A$2:$C$44, 3, FALSE)</f>
        <v>34</v>
      </c>
      <c r="J152" t="str">
        <f>VLOOKUP($B152, distributors!$A$2:$C$44, 2, FALSE)</f>
        <v>Las Vegas</v>
      </c>
      <c r="K152" t="str">
        <f>VLOOKUP($B152, distributors!$A$2:$C$44, 3, FALSE)</f>
        <v>NV</v>
      </c>
    </row>
    <row r="153" spans="1:11" x14ac:dyDescent="0.2">
      <c r="A153" s="2" t="s">
        <v>60</v>
      </c>
      <c r="B153" s="2">
        <v>89408</v>
      </c>
      <c r="C153" s="2">
        <v>4</v>
      </c>
      <c r="D153">
        <f>VLOOKUP($C153, private_rates!$A$2:$C$9, 2, FALSE)</f>
        <v>0.35</v>
      </c>
      <c r="E153">
        <f>VLOOKUP($C153, private_rates!$A$2:$C$9, 3, FALSE)</f>
        <v>4.6500000000000004</v>
      </c>
      <c r="F153">
        <f>VLOOKUP($C153, published_rates!$A$2:$C$9, 2, FALSE)</f>
        <v>0.41</v>
      </c>
      <c r="G153">
        <f>VLOOKUP($C153, published_rates!$A$2:$C$9, 3, FALSE)</f>
        <v>5</v>
      </c>
      <c r="H153">
        <f>VLOOKUP($B153, demand!$A$2:$C$44, 2, FALSE)</f>
        <v>664.08</v>
      </c>
      <c r="I153">
        <f>VLOOKUP($B153, demand!$A$2:$C$44, 3, FALSE)</f>
        <v>22</v>
      </c>
      <c r="J153" t="str">
        <f>VLOOKUP($B153, distributors!$A$2:$C$44, 2, FALSE)</f>
        <v>Fernley</v>
      </c>
      <c r="K153" t="str">
        <f>VLOOKUP($B153, distributors!$A$2:$C$44, 3, FALSE)</f>
        <v>NV</v>
      </c>
    </row>
    <row r="154" spans="1:11" x14ac:dyDescent="0.2">
      <c r="A154" s="2" t="s">
        <v>60</v>
      </c>
      <c r="B154" s="2">
        <v>89509</v>
      </c>
      <c r="C154" s="2">
        <v>4</v>
      </c>
      <c r="D154">
        <f>VLOOKUP($C154, private_rates!$A$2:$C$9, 2, FALSE)</f>
        <v>0.35</v>
      </c>
      <c r="E154">
        <f>VLOOKUP($C154, private_rates!$A$2:$C$9, 3, FALSE)</f>
        <v>4.6500000000000004</v>
      </c>
      <c r="F154">
        <f>VLOOKUP($C154, published_rates!$A$2:$C$9, 2, FALSE)</f>
        <v>0.41</v>
      </c>
      <c r="G154">
        <f>VLOOKUP($C154, published_rates!$A$2:$C$9, 3, FALSE)</f>
        <v>5</v>
      </c>
      <c r="H154">
        <f>VLOOKUP($B154, demand!$A$2:$C$44, 2, FALSE)</f>
        <v>707.57</v>
      </c>
      <c r="I154">
        <f>VLOOKUP($B154, demand!$A$2:$C$44, 3, FALSE)</f>
        <v>24</v>
      </c>
      <c r="J154" t="str">
        <f>VLOOKUP($B154, distributors!$A$2:$C$44, 2, FALSE)</f>
        <v>Reno</v>
      </c>
      <c r="K154" t="str">
        <f>VLOOKUP($B154, distributors!$A$2:$C$44, 3, FALSE)</f>
        <v>NV</v>
      </c>
    </row>
    <row r="155" spans="1:11" x14ac:dyDescent="0.2">
      <c r="A155" s="2" t="s">
        <v>60</v>
      </c>
      <c r="B155" s="2">
        <v>89822</v>
      </c>
      <c r="C155" s="2">
        <v>3</v>
      </c>
      <c r="D155">
        <f>VLOOKUP($C155, private_rates!$A$2:$C$9, 2, FALSE)</f>
        <v>0.32</v>
      </c>
      <c r="E155">
        <f>VLOOKUP($C155, private_rates!$A$2:$C$9, 3, FALSE)</f>
        <v>4.3</v>
      </c>
      <c r="F155">
        <f>VLOOKUP($C155, published_rates!$A$2:$C$9, 2, FALSE)</f>
        <v>0.37</v>
      </c>
      <c r="G155">
        <f>VLOOKUP($C155, published_rates!$A$2:$C$9, 3, FALSE)</f>
        <v>4.6500000000000004</v>
      </c>
      <c r="H155">
        <f>VLOOKUP($B155, demand!$A$2:$C$44, 2, FALSE)</f>
        <v>449.57000000000005</v>
      </c>
      <c r="I155">
        <f>VLOOKUP($B155, demand!$A$2:$C$44, 3, FALSE)</f>
        <v>15</v>
      </c>
      <c r="J155" t="str">
        <f>VLOOKUP($B155, distributors!$A$2:$C$44, 2, FALSE)</f>
        <v>Carlin</v>
      </c>
      <c r="K155" t="str">
        <f>VLOOKUP($B155, distributors!$A$2:$C$44, 3, FALSE)</f>
        <v>NV</v>
      </c>
    </row>
    <row r="156" spans="1:11" x14ac:dyDescent="0.2">
      <c r="A156" s="2" t="s">
        <v>60</v>
      </c>
      <c r="B156" s="2">
        <v>90061</v>
      </c>
      <c r="C156" s="2">
        <v>5</v>
      </c>
      <c r="D156">
        <f>VLOOKUP($C156, private_rates!$A$2:$C$9, 2, FALSE)</f>
        <v>0.4</v>
      </c>
      <c r="E156">
        <f>VLOOKUP($C156, private_rates!$A$2:$C$9, 3, FALSE)</f>
        <v>5</v>
      </c>
      <c r="F156">
        <f>VLOOKUP($C156, published_rates!$A$2:$C$9, 2, FALSE)</f>
        <v>0.46</v>
      </c>
      <c r="G156">
        <f>VLOOKUP($C156, published_rates!$A$2:$C$9, 3, FALSE)</f>
        <v>5.4</v>
      </c>
      <c r="H156">
        <f>VLOOKUP($B156, demand!$A$2:$C$44, 2, FALSE)</f>
        <v>1106.2900000000002</v>
      </c>
      <c r="I156">
        <f>VLOOKUP($B156, demand!$A$2:$C$44, 3, FALSE)</f>
        <v>38</v>
      </c>
      <c r="J156" t="str">
        <f>VLOOKUP($B156, distributors!$A$2:$C$44, 2, FALSE)</f>
        <v>Los Angeles</v>
      </c>
      <c r="K156" t="str">
        <f>VLOOKUP($B156, distributors!$A$2:$C$44, 3, FALSE)</f>
        <v>CA</v>
      </c>
    </row>
    <row r="157" spans="1:11" x14ac:dyDescent="0.2">
      <c r="A157" s="2" t="s">
        <v>60</v>
      </c>
      <c r="B157" s="2">
        <v>93030</v>
      </c>
      <c r="C157" s="2">
        <v>5</v>
      </c>
      <c r="D157">
        <f>VLOOKUP($C157, private_rates!$A$2:$C$9, 2, FALSE)</f>
        <v>0.4</v>
      </c>
      <c r="E157">
        <f>VLOOKUP($C157, private_rates!$A$2:$C$9, 3, FALSE)</f>
        <v>5</v>
      </c>
      <c r="F157">
        <f>VLOOKUP($C157, published_rates!$A$2:$C$9, 2, FALSE)</f>
        <v>0.46</v>
      </c>
      <c r="G157">
        <f>VLOOKUP($C157, published_rates!$A$2:$C$9, 3, FALSE)</f>
        <v>5.4</v>
      </c>
      <c r="H157">
        <f>VLOOKUP($B157, demand!$A$2:$C$44, 2, FALSE)</f>
        <v>716.37</v>
      </c>
      <c r="I157">
        <f>VLOOKUP($B157, demand!$A$2:$C$44, 3, FALSE)</f>
        <v>25</v>
      </c>
      <c r="J157" t="str">
        <f>VLOOKUP($B157, distributors!$A$2:$C$44, 2, FALSE)</f>
        <v>Oxnard</v>
      </c>
      <c r="K157" t="str">
        <f>VLOOKUP($B157, distributors!$A$2:$C$44, 3, FALSE)</f>
        <v>CA</v>
      </c>
    </row>
    <row r="158" spans="1:11" x14ac:dyDescent="0.2">
      <c r="A158" s="2" t="s">
        <v>60</v>
      </c>
      <c r="B158" s="2">
        <v>93427</v>
      </c>
      <c r="C158" s="2">
        <v>5</v>
      </c>
      <c r="D158">
        <f>VLOOKUP($C158, private_rates!$A$2:$C$9, 2, FALSE)</f>
        <v>0.4</v>
      </c>
      <c r="E158">
        <f>VLOOKUP($C158, private_rates!$A$2:$C$9, 3, FALSE)</f>
        <v>5</v>
      </c>
      <c r="F158">
        <f>VLOOKUP($C158, published_rates!$A$2:$C$9, 2, FALSE)</f>
        <v>0.46</v>
      </c>
      <c r="G158">
        <f>VLOOKUP($C158, published_rates!$A$2:$C$9, 3, FALSE)</f>
        <v>5.4</v>
      </c>
      <c r="H158">
        <f>VLOOKUP($B158, demand!$A$2:$C$44, 2, FALSE)</f>
        <v>571.88000000000011</v>
      </c>
      <c r="I158">
        <f>VLOOKUP($B158, demand!$A$2:$C$44, 3, FALSE)</f>
        <v>18</v>
      </c>
      <c r="J158" t="str">
        <f>VLOOKUP($B158, distributors!$A$2:$C$44, 2, FALSE)</f>
        <v>Buellton</v>
      </c>
      <c r="K158" t="str">
        <f>VLOOKUP($B158, distributors!$A$2:$C$44, 3, FALSE)</f>
        <v>CA</v>
      </c>
    </row>
    <row r="159" spans="1:11" x14ac:dyDescent="0.2">
      <c r="A159" s="2" t="s">
        <v>60</v>
      </c>
      <c r="B159" s="2">
        <v>93703</v>
      </c>
      <c r="C159" s="2">
        <v>4</v>
      </c>
      <c r="D159">
        <f>VLOOKUP($C159, private_rates!$A$2:$C$9, 2, FALSE)</f>
        <v>0.35</v>
      </c>
      <c r="E159">
        <f>VLOOKUP($C159, private_rates!$A$2:$C$9, 3, FALSE)</f>
        <v>4.6500000000000004</v>
      </c>
      <c r="F159">
        <f>VLOOKUP($C159, published_rates!$A$2:$C$9, 2, FALSE)</f>
        <v>0.41</v>
      </c>
      <c r="G159">
        <f>VLOOKUP($C159, published_rates!$A$2:$C$9, 3, FALSE)</f>
        <v>5</v>
      </c>
      <c r="H159">
        <f>VLOOKUP($B159, demand!$A$2:$C$44, 2, FALSE)</f>
        <v>1164.45</v>
      </c>
      <c r="I159">
        <f>VLOOKUP($B159, demand!$A$2:$C$44, 3, FALSE)</f>
        <v>39</v>
      </c>
      <c r="J159" t="str">
        <f>VLOOKUP($B159, distributors!$A$2:$C$44, 2, FALSE)</f>
        <v>Fresno</v>
      </c>
      <c r="K159" t="str">
        <f>VLOOKUP($B159, distributors!$A$2:$C$44, 3, FALSE)</f>
        <v>CA</v>
      </c>
    </row>
    <row r="160" spans="1:11" x14ac:dyDescent="0.2">
      <c r="A160" s="2" t="s">
        <v>60</v>
      </c>
      <c r="B160" s="2">
        <v>93906</v>
      </c>
      <c r="C160" s="2">
        <v>5</v>
      </c>
      <c r="D160">
        <f>VLOOKUP($C160, private_rates!$A$2:$C$9, 2, FALSE)</f>
        <v>0.4</v>
      </c>
      <c r="E160">
        <f>VLOOKUP($C160, private_rates!$A$2:$C$9, 3, FALSE)</f>
        <v>5</v>
      </c>
      <c r="F160">
        <f>VLOOKUP($C160, published_rates!$A$2:$C$9, 2, FALSE)</f>
        <v>0.46</v>
      </c>
      <c r="G160">
        <f>VLOOKUP($C160, published_rates!$A$2:$C$9, 3, FALSE)</f>
        <v>5.4</v>
      </c>
      <c r="H160">
        <f>VLOOKUP($B160, demand!$A$2:$C$44, 2, FALSE)</f>
        <v>894.16999999999985</v>
      </c>
      <c r="I160">
        <f>VLOOKUP($B160, demand!$A$2:$C$44, 3, FALSE)</f>
        <v>30</v>
      </c>
      <c r="J160" t="str">
        <f>VLOOKUP($B160, distributors!$A$2:$C$44, 2, FALSE)</f>
        <v>Salinas</v>
      </c>
      <c r="K160" t="str">
        <f>VLOOKUP($B160, distributors!$A$2:$C$44, 3, FALSE)</f>
        <v>CA</v>
      </c>
    </row>
    <row r="161" spans="1:11" x14ac:dyDescent="0.2">
      <c r="A161" s="2" t="s">
        <v>60</v>
      </c>
      <c r="B161" s="2">
        <v>94403</v>
      </c>
      <c r="C161" s="2">
        <v>5</v>
      </c>
      <c r="D161">
        <f>VLOOKUP($C161, private_rates!$A$2:$C$9, 2, FALSE)</f>
        <v>0.4</v>
      </c>
      <c r="E161">
        <f>VLOOKUP($C161, private_rates!$A$2:$C$9, 3, FALSE)</f>
        <v>5</v>
      </c>
      <c r="F161">
        <f>VLOOKUP($C161, published_rates!$A$2:$C$9, 2, FALSE)</f>
        <v>0.46</v>
      </c>
      <c r="G161">
        <f>VLOOKUP($C161, published_rates!$A$2:$C$9, 3, FALSE)</f>
        <v>5.4</v>
      </c>
      <c r="H161">
        <f>VLOOKUP($B161, demand!$A$2:$C$44, 2, FALSE)</f>
        <v>724.06999999999994</v>
      </c>
      <c r="I161">
        <f>VLOOKUP($B161, demand!$A$2:$C$44, 3, FALSE)</f>
        <v>24</v>
      </c>
      <c r="J161" t="str">
        <f>VLOOKUP($B161, distributors!$A$2:$C$44, 2, FALSE)</f>
        <v>San Mateo</v>
      </c>
      <c r="K161" t="str">
        <f>VLOOKUP($B161, distributors!$A$2:$C$44, 3, FALSE)</f>
        <v>CA</v>
      </c>
    </row>
    <row r="162" spans="1:11" x14ac:dyDescent="0.2">
      <c r="A162" s="2" t="s">
        <v>60</v>
      </c>
      <c r="B162" s="2">
        <v>95051</v>
      </c>
      <c r="C162" s="2">
        <v>5</v>
      </c>
      <c r="D162">
        <f>VLOOKUP($C162, private_rates!$A$2:$C$9, 2, FALSE)</f>
        <v>0.4</v>
      </c>
      <c r="E162">
        <f>VLOOKUP($C162, private_rates!$A$2:$C$9, 3, FALSE)</f>
        <v>5</v>
      </c>
      <c r="F162">
        <f>VLOOKUP($C162, published_rates!$A$2:$C$9, 2, FALSE)</f>
        <v>0.46</v>
      </c>
      <c r="G162">
        <f>VLOOKUP($C162, published_rates!$A$2:$C$9, 3, FALSE)</f>
        <v>5.4</v>
      </c>
      <c r="H162">
        <f>VLOOKUP($B162, demand!$A$2:$C$44, 2, FALSE)</f>
        <v>806.2600000000001</v>
      </c>
      <c r="I162">
        <f>VLOOKUP($B162, demand!$A$2:$C$44, 3, FALSE)</f>
        <v>26</v>
      </c>
      <c r="J162" t="str">
        <f>VLOOKUP($B162, distributors!$A$2:$C$44, 2, FALSE)</f>
        <v>Santa Clara</v>
      </c>
      <c r="K162" t="str">
        <f>VLOOKUP($B162, distributors!$A$2:$C$44, 3, FALSE)</f>
        <v>CA</v>
      </c>
    </row>
    <row r="163" spans="1:11" x14ac:dyDescent="0.2">
      <c r="A163" s="2" t="s">
        <v>60</v>
      </c>
      <c r="B163" s="2">
        <v>95993</v>
      </c>
      <c r="C163" s="2">
        <v>4</v>
      </c>
      <c r="D163">
        <f>VLOOKUP($C163, private_rates!$A$2:$C$9, 2, FALSE)</f>
        <v>0.35</v>
      </c>
      <c r="E163">
        <f>VLOOKUP($C163, private_rates!$A$2:$C$9, 3, FALSE)</f>
        <v>4.6500000000000004</v>
      </c>
      <c r="F163">
        <f>VLOOKUP($C163, published_rates!$A$2:$C$9, 2, FALSE)</f>
        <v>0.41</v>
      </c>
      <c r="G163">
        <f>VLOOKUP($C163, published_rates!$A$2:$C$9, 3, FALSE)</f>
        <v>5</v>
      </c>
      <c r="H163">
        <f>VLOOKUP($B163, demand!$A$2:$C$44, 2, FALSE)</f>
        <v>783.16</v>
      </c>
      <c r="I163">
        <f>VLOOKUP($B163, demand!$A$2:$C$44, 3, FALSE)</f>
        <v>26</v>
      </c>
      <c r="J163" t="str">
        <f>VLOOKUP($B163, distributors!$A$2:$C$44, 2, FALSE)</f>
        <v>Yuba City</v>
      </c>
      <c r="K163" t="str">
        <f>VLOOKUP($B163, distributors!$A$2:$C$44, 3, FALSE)</f>
        <v>CA</v>
      </c>
    </row>
    <row r="164" spans="1:11" x14ac:dyDescent="0.2">
      <c r="A164" s="2" t="s">
        <v>60</v>
      </c>
      <c r="B164" s="2">
        <v>96130</v>
      </c>
      <c r="C164" s="2">
        <v>4</v>
      </c>
      <c r="D164">
        <f>VLOOKUP($C164, private_rates!$A$2:$C$9, 2, FALSE)</f>
        <v>0.35</v>
      </c>
      <c r="E164">
        <f>VLOOKUP($C164, private_rates!$A$2:$C$9, 3, FALSE)</f>
        <v>4.6500000000000004</v>
      </c>
      <c r="F164">
        <f>VLOOKUP($C164, published_rates!$A$2:$C$9, 2, FALSE)</f>
        <v>0.41</v>
      </c>
      <c r="G164">
        <f>VLOOKUP($C164, published_rates!$A$2:$C$9, 3, FALSE)</f>
        <v>5</v>
      </c>
      <c r="H164">
        <f>VLOOKUP($B164, demand!$A$2:$C$44, 2, FALSE)</f>
        <v>488.46000000000004</v>
      </c>
      <c r="I164">
        <f>VLOOKUP($B164, demand!$A$2:$C$44, 3, FALSE)</f>
        <v>16</v>
      </c>
      <c r="J164" t="str">
        <f>VLOOKUP($B164, distributors!$A$2:$C$44, 2, FALSE)</f>
        <v>Susanville</v>
      </c>
      <c r="K164" t="str">
        <f>VLOOKUP($B164, distributors!$A$2:$C$44, 3, FALSE)</f>
        <v>CA</v>
      </c>
    </row>
    <row r="165" spans="1:11" x14ac:dyDescent="0.2">
      <c r="A165" s="2" t="s">
        <v>60</v>
      </c>
      <c r="B165" s="2">
        <v>97002</v>
      </c>
      <c r="C165" s="2">
        <v>4</v>
      </c>
      <c r="D165">
        <f>VLOOKUP($C165, private_rates!$A$2:$C$9, 2, FALSE)</f>
        <v>0.35</v>
      </c>
      <c r="E165">
        <f>VLOOKUP($C165, private_rates!$A$2:$C$9, 3, FALSE)</f>
        <v>4.6500000000000004</v>
      </c>
      <c r="F165">
        <f>VLOOKUP($C165, published_rates!$A$2:$C$9, 2, FALSE)</f>
        <v>0.41</v>
      </c>
      <c r="G165">
        <f>VLOOKUP($C165, published_rates!$A$2:$C$9, 3, FALSE)</f>
        <v>5</v>
      </c>
      <c r="H165">
        <f>VLOOKUP($B165, demand!$A$2:$C$44, 2, FALSE)</f>
        <v>665.41999999999985</v>
      </c>
      <c r="I165">
        <f>VLOOKUP($B165, demand!$A$2:$C$44, 3, FALSE)</f>
        <v>22</v>
      </c>
      <c r="J165" t="str">
        <f>VLOOKUP($B165, distributors!$A$2:$C$44, 2, FALSE)</f>
        <v>Aurora</v>
      </c>
      <c r="K165" t="str">
        <f>VLOOKUP($B165, distributors!$A$2:$C$44, 3, FALSE)</f>
        <v>OR</v>
      </c>
    </row>
    <row r="166" spans="1:11" x14ac:dyDescent="0.2">
      <c r="A166" s="2" t="s">
        <v>60</v>
      </c>
      <c r="B166" s="2">
        <v>97524</v>
      </c>
      <c r="C166" s="2">
        <v>4</v>
      </c>
      <c r="D166">
        <f>VLOOKUP($C166, private_rates!$A$2:$C$9, 2, FALSE)</f>
        <v>0.35</v>
      </c>
      <c r="E166">
        <f>VLOOKUP($C166, private_rates!$A$2:$C$9, 3, FALSE)</f>
        <v>4.6500000000000004</v>
      </c>
      <c r="F166">
        <f>VLOOKUP($C166, published_rates!$A$2:$C$9, 2, FALSE)</f>
        <v>0.41</v>
      </c>
      <c r="G166">
        <f>VLOOKUP($C166, published_rates!$A$2:$C$9, 3, FALSE)</f>
        <v>5</v>
      </c>
      <c r="H166">
        <f>VLOOKUP($B166, demand!$A$2:$C$44, 2, FALSE)</f>
        <v>935.86999999999989</v>
      </c>
      <c r="I166">
        <f>VLOOKUP($B166, demand!$A$2:$C$44, 3, FALSE)</f>
        <v>30</v>
      </c>
      <c r="J166" t="str">
        <f>VLOOKUP($B166, distributors!$A$2:$C$44, 2, FALSE)</f>
        <v>Eagle Point</v>
      </c>
      <c r="K166" t="str">
        <f>VLOOKUP($B166, distributors!$A$2:$C$44, 3, FALSE)</f>
        <v>OR</v>
      </c>
    </row>
    <row r="167" spans="1:11" x14ac:dyDescent="0.2">
      <c r="A167" s="2" t="s">
        <v>60</v>
      </c>
      <c r="B167" s="2">
        <v>97862</v>
      </c>
      <c r="C167" s="2">
        <v>4</v>
      </c>
      <c r="D167">
        <f>VLOOKUP($C167, private_rates!$A$2:$C$9, 2, FALSE)</f>
        <v>0.35</v>
      </c>
      <c r="E167">
        <f>VLOOKUP($C167, private_rates!$A$2:$C$9, 3, FALSE)</f>
        <v>4.6500000000000004</v>
      </c>
      <c r="F167">
        <f>VLOOKUP($C167, published_rates!$A$2:$C$9, 2, FALSE)</f>
        <v>0.41</v>
      </c>
      <c r="G167">
        <f>VLOOKUP($C167, published_rates!$A$2:$C$9, 3, FALSE)</f>
        <v>5</v>
      </c>
      <c r="H167">
        <f>VLOOKUP($B167, demand!$A$2:$C$44, 2, FALSE)</f>
        <v>817.06</v>
      </c>
      <c r="I167">
        <f>VLOOKUP($B167, demand!$A$2:$C$44, 3, FALSE)</f>
        <v>26</v>
      </c>
      <c r="J167" t="str">
        <f>VLOOKUP($B167, distributors!$A$2:$C$44, 2, FALSE)</f>
        <v>Milton Freewater</v>
      </c>
      <c r="K167" t="str">
        <f>VLOOKUP($B167, distributors!$A$2:$C$44, 3, FALSE)</f>
        <v>OR</v>
      </c>
    </row>
    <row r="168" spans="1:11" x14ac:dyDescent="0.2">
      <c r="A168" s="2" t="s">
        <v>60</v>
      </c>
      <c r="B168" s="2">
        <v>97920</v>
      </c>
      <c r="C168" s="2">
        <v>3</v>
      </c>
      <c r="D168">
        <f>VLOOKUP($C168, private_rates!$A$2:$C$9, 2, FALSE)</f>
        <v>0.32</v>
      </c>
      <c r="E168">
        <f>VLOOKUP($C168, private_rates!$A$2:$C$9, 3, FALSE)</f>
        <v>4.3</v>
      </c>
      <c r="F168">
        <f>VLOOKUP($C168, published_rates!$A$2:$C$9, 2, FALSE)</f>
        <v>0.37</v>
      </c>
      <c r="G168">
        <f>VLOOKUP($C168, published_rates!$A$2:$C$9, 3, FALSE)</f>
        <v>4.6500000000000004</v>
      </c>
      <c r="H168">
        <f>VLOOKUP($B168, demand!$A$2:$C$44, 2, FALSE)</f>
        <v>546.56999999999994</v>
      </c>
      <c r="I168">
        <f>VLOOKUP($B168, demand!$A$2:$C$44, 3, FALSE)</f>
        <v>16</v>
      </c>
      <c r="J168" t="str">
        <f>VLOOKUP($B168, distributors!$A$2:$C$44, 2, FALSE)</f>
        <v>Westfall</v>
      </c>
      <c r="K168" t="str">
        <f>VLOOKUP($B168, distributors!$A$2:$C$44, 3, FALSE)</f>
        <v>OR</v>
      </c>
    </row>
    <row r="169" spans="1:11" x14ac:dyDescent="0.2">
      <c r="A169" s="2" t="s">
        <v>60</v>
      </c>
      <c r="B169" s="2">
        <v>98059</v>
      </c>
      <c r="C169" s="2">
        <v>4</v>
      </c>
      <c r="D169">
        <f>VLOOKUP($C169, private_rates!$A$2:$C$9, 2, FALSE)</f>
        <v>0.35</v>
      </c>
      <c r="E169">
        <f>VLOOKUP($C169, private_rates!$A$2:$C$9, 3, FALSE)</f>
        <v>4.6500000000000004</v>
      </c>
      <c r="F169">
        <f>VLOOKUP($C169, published_rates!$A$2:$C$9, 2, FALSE)</f>
        <v>0.41</v>
      </c>
      <c r="G169">
        <f>VLOOKUP($C169, published_rates!$A$2:$C$9, 3, FALSE)</f>
        <v>5</v>
      </c>
      <c r="H169">
        <f>VLOOKUP($B169, demand!$A$2:$C$44, 2, FALSE)</f>
        <v>968.45</v>
      </c>
      <c r="I169">
        <f>VLOOKUP($B169, demand!$A$2:$C$44, 3, FALSE)</f>
        <v>30</v>
      </c>
      <c r="J169" t="str">
        <f>VLOOKUP($B169, distributors!$A$2:$C$44, 2, FALSE)</f>
        <v>Renton</v>
      </c>
      <c r="K169" t="str">
        <f>VLOOKUP($B169, distributors!$A$2:$C$44, 3, FALSE)</f>
        <v>WA</v>
      </c>
    </row>
    <row r="170" spans="1:11" x14ac:dyDescent="0.2">
      <c r="A170" s="2" t="s">
        <v>60</v>
      </c>
      <c r="B170" s="2">
        <v>98248</v>
      </c>
      <c r="C170" s="2">
        <v>4</v>
      </c>
      <c r="D170">
        <f>VLOOKUP($C170, private_rates!$A$2:$C$9, 2, FALSE)</f>
        <v>0.35</v>
      </c>
      <c r="E170">
        <f>VLOOKUP($C170, private_rates!$A$2:$C$9, 3, FALSE)</f>
        <v>4.6500000000000004</v>
      </c>
      <c r="F170">
        <f>VLOOKUP($C170, published_rates!$A$2:$C$9, 2, FALSE)</f>
        <v>0.41</v>
      </c>
      <c r="G170">
        <f>VLOOKUP($C170, published_rates!$A$2:$C$9, 3, FALSE)</f>
        <v>5</v>
      </c>
      <c r="H170">
        <f>VLOOKUP($B170, demand!$A$2:$C$44, 2, FALSE)</f>
        <v>752.47</v>
      </c>
      <c r="I170">
        <f>VLOOKUP($B170, demand!$A$2:$C$44, 3, FALSE)</f>
        <v>23</v>
      </c>
      <c r="J170" t="str">
        <f>VLOOKUP($B170, distributors!$A$2:$C$44, 2, FALSE)</f>
        <v>Ferndale</v>
      </c>
      <c r="K170" t="str">
        <f>VLOOKUP($B170, distributors!$A$2:$C$44, 3, FALSE)</f>
        <v>WA</v>
      </c>
    </row>
    <row r="171" spans="1:11" x14ac:dyDescent="0.2">
      <c r="A171" s="2" t="s">
        <v>60</v>
      </c>
      <c r="B171" s="2">
        <v>98812</v>
      </c>
      <c r="C171" s="2">
        <v>4</v>
      </c>
      <c r="D171">
        <f>VLOOKUP($C171, private_rates!$A$2:$C$9, 2, FALSE)</f>
        <v>0.35</v>
      </c>
      <c r="E171">
        <f>VLOOKUP($C171, private_rates!$A$2:$C$9, 3, FALSE)</f>
        <v>4.6500000000000004</v>
      </c>
      <c r="F171">
        <f>VLOOKUP($C171, published_rates!$A$2:$C$9, 2, FALSE)</f>
        <v>0.41</v>
      </c>
      <c r="G171">
        <f>VLOOKUP($C171, published_rates!$A$2:$C$9, 3, FALSE)</f>
        <v>5</v>
      </c>
      <c r="H171">
        <f>VLOOKUP($B171, demand!$A$2:$C$44, 2, FALSE)</f>
        <v>679.12999999999977</v>
      </c>
      <c r="I171">
        <f>VLOOKUP($B171, demand!$A$2:$C$44, 3, FALSE)</f>
        <v>22</v>
      </c>
      <c r="J171" t="str">
        <f>VLOOKUP($B171, distributors!$A$2:$C$44, 2, FALSE)</f>
        <v>Brewster</v>
      </c>
      <c r="K171" t="str">
        <f>VLOOKUP($B171, distributors!$A$2:$C$44, 3, FALSE)</f>
        <v>WA</v>
      </c>
    </row>
    <row r="172" spans="1:11" x14ac:dyDescent="0.2">
      <c r="A172" s="2" t="s">
        <v>60</v>
      </c>
      <c r="B172" s="2">
        <v>99223</v>
      </c>
      <c r="C172" s="2">
        <v>4</v>
      </c>
      <c r="D172">
        <f>VLOOKUP($C172, private_rates!$A$2:$C$9, 2, FALSE)</f>
        <v>0.35</v>
      </c>
      <c r="E172">
        <f>VLOOKUP($C172, private_rates!$A$2:$C$9, 3, FALSE)</f>
        <v>4.6500000000000004</v>
      </c>
      <c r="F172">
        <f>VLOOKUP($C172, published_rates!$A$2:$C$9, 2, FALSE)</f>
        <v>0.41</v>
      </c>
      <c r="G172">
        <f>VLOOKUP($C172, published_rates!$A$2:$C$9, 3, FALSE)</f>
        <v>5</v>
      </c>
      <c r="H172">
        <f>VLOOKUP($B172, demand!$A$2:$C$44, 2, FALSE)</f>
        <v>669.4</v>
      </c>
      <c r="I172">
        <f>VLOOKUP($B172, demand!$A$2:$C$44, 3, FALSE)</f>
        <v>21</v>
      </c>
      <c r="J172" t="str">
        <f>VLOOKUP($B172, distributors!$A$2:$C$44, 2, FALSE)</f>
        <v>Spokane</v>
      </c>
      <c r="K172" t="str">
        <f>VLOOKUP($B172, distributors!$A$2:$C$44, 3, FALSE)</f>
        <v>WA</v>
      </c>
    </row>
    <row r="173" spans="1:11" x14ac:dyDescent="0.2">
      <c r="A173" s="2" t="s">
        <v>60</v>
      </c>
      <c r="B173" s="2">
        <v>99350</v>
      </c>
      <c r="C173" s="2">
        <v>4</v>
      </c>
      <c r="D173">
        <f>VLOOKUP($C173, private_rates!$A$2:$C$9, 2, FALSE)</f>
        <v>0.35</v>
      </c>
      <c r="E173">
        <f>VLOOKUP($C173, private_rates!$A$2:$C$9, 3, FALSE)</f>
        <v>4.6500000000000004</v>
      </c>
      <c r="F173">
        <f>VLOOKUP($C173, published_rates!$A$2:$C$9, 2, FALSE)</f>
        <v>0.41</v>
      </c>
      <c r="G173">
        <f>VLOOKUP($C173, published_rates!$A$2:$C$9, 3, FALSE)</f>
        <v>5</v>
      </c>
      <c r="H173">
        <f>VLOOKUP($B173, demand!$A$2:$C$44, 2, FALSE)</f>
        <v>711.80000000000018</v>
      </c>
      <c r="I173">
        <f>VLOOKUP($B173, demand!$A$2:$C$44, 3, FALSE)</f>
        <v>22</v>
      </c>
      <c r="J173" t="str">
        <f>VLOOKUP($B173, distributors!$A$2:$C$44, 2, FALSE)</f>
        <v>Prosser</v>
      </c>
      <c r="K173" t="str">
        <f>VLOOKUP($B173, distributors!$A$2:$C$44, 3, FALSE)</f>
        <v>WA</v>
      </c>
    </row>
    <row r="174" spans="1:11" x14ac:dyDescent="0.2">
      <c r="A174" s="2" t="s">
        <v>61</v>
      </c>
      <c r="B174" s="2">
        <v>59019</v>
      </c>
      <c r="C174" s="2">
        <v>5</v>
      </c>
      <c r="D174">
        <f>VLOOKUP($C174, private_rates!$A$2:$C$9, 2, FALSE)</f>
        <v>0.4</v>
      </c>
      <c r="E174">
        <f>VLOOKUP($C174, private_rates!$A$2:$C$9, 3, FALSE)</f>
        <v>5</v>
      </c>
      <c r="F174">
        <f>VLOOKUP($C174, published_rates!$A$2:$C$9, 2, FALSE)</f>
        <v>0.46</v>
      </c>
      <c r="G174">
        <f>VLOOKUP($C174, published_rates!$A$2:$C$9, 3, FALSE)</f>
        <v>5.4</v>
      </c>
      <c r="H174">
        <f>VLOOKUP($B174, demand!$A$2:$C$44, 2, FALSE)</f>
        <v>779.83999999999992</v>
      </c>
      <c r="I174">
        <f>VLOOKUP($B174, demand!$A$2:$C$44, 3, FALSE)</f>
        <v>30</v>
      </c>
      <c r="J174" t="str">
        <f>VLOOKUP($B174, distributors!$A$2:$C$44, 2, FALSE)</f>
        <v>Columbus</v>
      </c>
      <c r="K174" t="str">
        <f>VLOOKUP($B174, distributors!$A$2:$C$44, 3, FALSE)</f>
        <v>MT</v>
      </c>
    </row>
    <row r="175" spans="1:11" x14ac:dyDescent="0.2">
      <c r="A175" s="2" t="s">
        <v>61</v>
      </c>
      <c r="B175" s="2">
        <v>59634</v>
      </c>
      <c r="C175" s="2">
        <v>5</v>
      </c>
      <c r="D175">
        <f>VLOOKUP($C175, private_rates!$A$2:$C$9, 2, FALSE)</f>
        <v>0.4</v>
      </c>
      <c r="E175">
        <f>VLOOKUP($C175, private_rates!$A$2:$C$9, 3, FALSE)</f>
        <v>5</v>
      </c>
      <c r="F175">
        <f>VLOOKUP($C175, published_rates!$A$2:$C$9, 2, FALSE)</f>
        <v>0.46</v>
      </c>
      <c r="G175">
        <f>VLOOKUP($C175, published_rates!$A$2:$C$9, 3, FALSE)</f>
        <v>5.4</v>
      </c>
      <c r="H175">
        <f>VLOOKUP($B175, demand!$A$2:$C$44, 2, FALSE)</f>
        <v>730.32999999999993</v>
      </c>
      <c r="I175">
        <f>VLOOKUP($B175, demand!$A$2:$C$44, 3, FALSE)</f>
        <v>29</v>
      </c>
      <c r="J175" t="str">
        <f>VLOOKUP($B175, distributors!$A$2:$C$44, 2, FALSE)</f>
        <v>Clancy</v>
      </c>
      <c r="K175" t="str">
        <f>VLOOKUP($B175, distributors!$A$2:$C$44, 3, FALSE)</f>
        <v>MT</v>
      </c>
    </row>
    <row r="176" spans="1:11" x14ac:dyDescent="0.2">
      <c r="A176" s="2" t="s">
        <v>61</v>
      </c>
      <c r="B176" s="2">
        <v>59808</v>
      </c>
      <c r="C176" s="2">
        <v>5</v>
      </c>
      <c r="D176">
        <f>VLOOKUP($C176, private_rates!$A$2:$C$9, 2, FALSE)</f>
        <v>0.4</v>
      </c>
      <c r="E176">
        <f>VLOOKUP($C176, private_rates!$A$2:$C$9, 3, FALSE)</f>
        <v>5</v>
      </c>
      <c r="F176">
        <f>VLOOKUP($C176, published_rates!$A$2:$C$9, 2, FALSE)</f>
        <v>0.46</v>
      </c>
      <c r="G176">
        <f>VLOOKUP($C176, published_rates!$A$2:$C$9, 3, FALSE)</f>
        <v>5.4</v>
      </c>
      <c r="H176">
        <f>VLOOKUP($B176, demand!$A$2:$C$44, 2, FALSE)</f>
        <v>568.34</v>
      </c>
      <c r="I176">
        <f>VLOOKUP($B176, demand!$A$2:$C$44, 3, FALSE)</f>
        <v>23</v>
      </c>
      <c r="J176" t="str">
        <f>VLOOKUP($B176, distributors!$A$2:$C$44, 2, FALSE)</f>
        <v>Missoula</v>
      </c>
      <c r="K176" t="str">
        <f>VLOOKUP($B176, distributors!$A$2:$C$44, 3, FALSE)</f>
        <v>MT</v>
      </c>
    </row>
    <row r="177" spans="1:11" x14ac:dyDescent="0.2">
      <c r="A177" s="2" t="s">
        <v>61</v>
      </c>
      <c r="B177" s="2">
        <v>81321</v>
      </c>
      <c r="C177" s="2">
        <v>3</v>
      </c>
      <c r="D177">
        <f>VLOOKUP($C177, private_rates!$A$2:$C$9, 2, FALSE)</f>
        <v>0.32</v>
      </c>
      <c r="E177">
        <f>VLOOKUP($C177, private_rates!$A$2:$C$9, 3, FALSE)</f>
        <v>4.3</v>
      </c>
      <c r="F177">
        <f>VLOOKUP($C177, published_rates!$A$2:$C$9, 2, FALSE)</f>
        <v>0.37</v>
      </c>
      <c r="G177">
        <f>VLOOKUP($C177, published_rates!$A$2:$C$9, 3, FALSE)</f>
        <v>4.6500000000000004</v>
      </c>
      <c r="H177">
        <f>VLOOKUP($B177, demand!$A$2:$C$44, 2, FALSE)</f>
        <v>759</v>
      </c>
      <c r="I177">
        <f>VLOOKUP($B177, demand!$A$2:$C$44, 3, FALSE)</f>
        <v>32</v>
      </c>
      <c r="J177" t="str">
        <f>VLOOKUP($B177, distributors!$A$2:$C$44, 2, FALSE)</f>
        <v>Cortez</v>
      </c>
      <c r="K177" t="str">
        <f>VLOOKUP($B177, distributors!$A$2:$C$44, 3, FALSE)</f>
        <v>CO</v>
      </c>
    </row>
    <row r="178" spans="1:11" x14ac:dyDescent="0.2">
      <c r="A178" s="2" t="s">
        <v>61</v>
      </c>
      <c r="B178" s="2">
        <v>81416</v>
      </c>
      <c r="C178" s="2">
        <v>3</v>
      </c>
      <c r="D178">
        <f>VLOOKUP($C178, private_rates!$A$2:$C$9, 2, FALSE)</f>
        <v>0.32</v>
      </c>
      <c r="E178">
        <f>VLOOKUP($C178, private_rates!$A$2:$C$9, 3, FALSE)</f>
        <v>4.3</v>
      </c>
      <c r="F178">
        <f>VLOOKUP($C178, published_rates!$A$2:$C$9, 2, FALSE)</f>
        <v>0.37</v>
      </c>
      <c r="G178">
        <f>VLOOKUP($C178, published_rates!$A$2:$C$9, 3, FALSE)</f>
        <v>4.6500000000000004</v>
      </c>
      <c r="H178">
        <f>VLOOKUP($B178, demand!$A$2:$C$44, 2, FALSE)</f>
        <v>976.23</v>
      </c>
      <c r="I178">
        <f>VLOOKUP($B178, demand!$A$2:$C$44, 3, FALSE)</f>
        <v>37</v>
      </c>
      <c r="J178" t="str">
        <f>VLOOKUP($B178, distributors!$A$2:$C$44, 2, FALSE)</f>
        <v>Delta</v>
      </c>
      <c r="K178" t="str">
        <f>VLOOKUP($B178, distributors!$A$2:$C$44, 3, FALSE)</f>
        <v>CO</v>
      </c>
    </row>
    <row r="179" spans="1:11" x14ac:dyDescent="0.2">
      <c r="A179" s="2" t="s">
        <v>61</v>
      </c>
      <c r="B179" s="2">
        <v>81504</v>
      </c>
      <c r="C179" s="2">
        <v>3</v>
      </c>
      <c r="D179">
        <f>VLOOKUP($C179, private_rates!$A$2:$C$9, 2, FALSE)</f>
        <v>0.32</v>
      </c>
      <c r="E179">
        <f>VLOOKUP($C179, private_rates!$A$2:$C$9, 3, FALSE)</f>
        <v>4.3</v>
      </c>
      <c r="F179">
        <f>VLOOKUP($C179, published_rates!$A$2:$C$9, 2, FALSE)</f>
        <v>0.37</v>
      </c>
      <c r="G179">
        <f>VLOOKUP($C179, published_rates!$A$2:$C$9, 3, FALSE)</f>
        <v>4.6500000000000004</v>
      </c>
      <c r="H179">
        <f>VLOOKUP($B179, demand!$A$2:$C$44, 2, FALSE)</f>
        <v>860.19000000000028</v>
      </c>
      <c r="I179">
        <f>VLOOKUP($B179, demand!$A$2:$C$44, 3, FALSE)</f>
        <v>32</v>
      </c>
      <c r="J179" t="str">
        <f>VLOOKUP($B179, distributors!$A$2:$C$44, 2, FALSE)</f>
        <v>Grand Junction</v>
      </c>
      <c r="K179" t="str">
        <f>VLOOKUP($B179, distributors!$A$2:$C$44, 3, FALSE)</f>
        <v>CO</v>
      </c>
    </row>
    <row r="180" spans="1:11" x14ac:dyDescent="0.2">
      <c r="A180" s="2" t="s">
        <v>61</v>
      </c>
      <c r="B180" s="2">
        <v>81650</v>
      </c>
      <c r="C180" s="2">
        <v>4</v>
      </c>
      <c r="D180">
        <f>VLOOKUP($C180, private_rates!$A$2:$C$9, 2, FALSE)</f>
        <v>0.35</v>
      </c>
      <c r="E180">
        <f>VLOOKUP($C180, private_rates!$A$2:$C$9, 3, FALSE)</f>
        <v>4.6500000000000004</v>
      </c>
      <c r="F180">
        <f>VLOOKUP($C180, published_rates!$A$2:$C$9, 2, FALSE)</f>
        <v>0.41</v>
      </c>
      <c r="G180">
        <f>VLOOKUP($C180, published_rates!$A$2:$C$9, 3, FALSE)</f>
        <v>5</v>
      </c>
      <c r="H180">
        <f>VLOOKUP($B180, demand!$A$2:$C$44, 2, FALSE)</f>
        <v>585.81000000000006</v>
      </c>
      <c r="I180">
        <f>VLOOKUP($B180, demand!$A$2:$C$44, 3, FALSE)</f>
        <v>22</v>
      </c>
      <c r="J180" t="str">
        <f>VLOOKUP($B180, distributors!$A$2:$C$44, 2, FALSE)</f>
        <v>Rifle</v>
      </c>
      <c r="K180" t="str">
        <f>VLOOKUP($B180, distributors!$A$2:$C$44, 3, FALSE)</f>
        <v>CO</v>
      </c>
    </row>
    <row r="181" spans="1:11" x14ac:dyDescent="0.2">
      <c r="A181" s="2" t="s">
        <v>61</v>
      </c>
      <c r="B181" s="2">
        <v>83014</v>
      </c>
      <c r="C181" s="2">
        <v>4</v>
      </c>
      <c r="D181">
        <f>VLOOKUP($C181, private_rates!$A$2:$C$9, 2, FALSE)</f>
        <v>0.35</v>
      </c>
      <c r="E181">
        <f>VLOOKUP($C181, private_rates!$A$2:$C$9, 3, FALSE)</f>
        <v>4.6500000000000004</v>
      </c>
      <c r="F181">
        <f>VLOOKUP($C181, published_rates!$A$2:$C$9, 2, FALSE)</f>
        <v>0.41</v>
      </c>
      <c r="G181">
        <f>VLOOKUP($C181, published_rates!$A$2:$C$9, 3, FALSE)</f>
        <v>5</v>
      </c>
      <c r="H181">
        <f>VLOOKUP($B181, demand!$A$2:$C$44, 2, FALSE)</f>
        <v>412.08000000000004</v>
      </c>
      <c r="I181">
        <f>VLOOKUP($B181, demand!$A$2:$C$44, 3, FALSE)</f>
        <v>15</v>
      </c>
      <c r="J181" t="str">
        <f>VLOOKUP($B181, distributors!$A$2:$C$44, 2, FALSE)</f>
        <v>Wilson</v>
      </c>
      <c r="K181" t="str">
        <f>VLOOKUP($B181, distributors!$A$2:$C$44, 3, FALSE)</f>
        <v>WY</v>
      </c>
    </row>
    <row r="182" spans="1:11" x14ac:dyDescent="0.2">
      <c r="A182" s="2" t="s">
        <v>61</v>
      </c>
      <c r="B182" s="2">
        <v>83338</v>
      </c>
      <c r="C182" s="2">
        <v>4</v>
      </c>
      <c r="D182">
        <f>VLOOKUP($C182, private_rates!$A$2:$C$9, 2, FALSE)</f>
        <v>0.35</v>
      </c>
      <c r="E182">
        <f>VLOOKUP($C182, private_rates!$A$2:$C$9, 3, FALSE)</f>
        <v>4.6500000000000004</v>
      </c>
      <c r="F182">
        <f>VLOOKUP($C182, published_rates!$A$2:$C$9, 2, FALSE)</f>
        <v>0.41</v>
      </c>
      <c r="G182">
        <f>VLOOKUP($C182, published_rates!$A$2:$C$9, 3, FALSE)</f>
        <v>5</v>
      </c>
      <c r="H182">
        <f>VLOOKUP($B182, demand!$A$2:$C$44, 2, FALSE)</f>
        <v>546.12999999999988</v>
      </c>
      <c r="I182">
        <f>VLOOKUP($B182, demand!$A$2:$C$44, 3, FALSE)</f>
        <v>21</v>
      </c>
      <c r="J182" t="str">
        <f>VLOOKUP($B182, distributors!$A$2:$C$44, 2, FALSE)</f>
        <v>Jerome</v>
      </c>
      <c r="K182" t="str">
        <f>VLOOKUP($B182, distributors!$A$2:$C$44, 3, FALSE)</f>
        <v>ID</v>
      </c>
    </row>
    <row r="183" spans="1:11" x14ac:dyDescent="0.2">
      <c r="A183" s="2" t="s">
        <v>61</v>
      </c>
      <c r="B183" s="2">
        <v>83544</v>
      </c>
      <c r="C183" s="2">
        <v>5</v>
      </c>
      <c r="D183">
        <f>VLOOKUP($C183, private_rates!$A$2:$C$9, 2, FALSE)</f>
        <v>0.4</v>
      </c>
      <c r="E183">
        <f>VLOOKUP($C183, private_rates!$A$2:$C$9, 3, FALSE)</f>
        <v>5</v>
      </c>
      <c r="F183">
        <f>VLOOKUP($C183, published_rates!$A$2:$C$9, 2, FALSE)</f>
        <v>0.46</v>
      </c>
      <c r="G183">
        <f>VLOOKUP($C183, published_rates!$A$2:$C$9, 3, FALSE)</f>
        <v>5.4</v>
      </c>
      <c r="H183">
        <f>VLOOKUP($B183, demand!$A$2:$C$44, 2, FALSE)</f>
        <v>599.47</v>
      </c>
      <c r="I183">
        <f>VLOOKUP($B183, demand!$A$2:$C$44, 3, FALSE)</f>
        <v>22</v>
      </c>
      <c r="J183" t="str">
        <f>VLOOKUP($B183, distributors!$A$2:$C$44, 2, FALSE)</f>
        <v>Orofino</v>
      </c>
      <c r="K183" t="str">
        <f>VLOOKUP($B183, distributors!$A$2:$C$44, 3, FALSE)</f>
        <v>ID</v>
      </c>
    </row>
    <row r="184" spans="1:11" x14ac:dyDescent="0.2">
      <c r="A184" s="2" t="s">
        <v>61</v>
      </c>
      <c r="B184" s="2">
        <v>83638</v>
      </c>
      <c r="C184" s="2">
        <v>5</v>
      </c>
      <c r="D184">
        <f>VLOOKUP($C184, private_rates!$A$2:$C$9, 2, FALSE)</f>
        <v>0.4</v>
      </c>
      <c r="E184">
        <f>VLOOKUP($C184, private_rates!$A$2:$C$9, 3, FALSE)</f>
        <v>5</v>
      </c>
      <c r="F184">
        <f>VLOOKUP($C184, published_rates!$A$2:$C$9, 2, FALSE)</f>
        <v>0.46</v>
      </c>
      <c r="G184">
        <f>VLOOKUP($C184, published_rates!$A$2:$C$9, 3, FALSE)</f>
        <v>5.4</v>
      </c>
      <c r="H184">
        <f>VLOOKUP($B184, demand!$A$2:$C$44, 2, FALSE)</f>
        <v>853.4100000000002</v>
      </c>
      <c r="I184">
        <f>VLOOKUP($B184, demand!$A$2:$C$44, 3, FALSE)</f>
        <v>30</v>
      </c>
      <c r="J184" t="str">
        <f>VLOOKUP($B184, distributors!$A$2:$C$44, 2, FALSE)</f>
        <v>McCall</v>
      </c>
      <c r="K184" t="str">
        <f>VLOOKUP($B184, distributors!$A$2:$C$44, 3, FALSE)</f>
        <v>ID</v>
      </c>
    </row>
    <row r="185" spans="1:11" x14ac:dyDescent="0.2">
      <c r="A185" s="2" t="s">
        <v>61</v>
      </c>
      <c r="B185" s="2">
        <v>83706</v>
      </c>
      <c r="C185" s="2">
        <v>5</v>
      </c>
      <c r="D185">
        <f>VLOOKUP($C185, private_rates!$A$2:$C$9, 2, FALSE)</f>
        <v>0.4</v>
      </c>
      <c r="E185">
        <f>VLOOKUP($C185, private_rates!$A$2:$C$9, 3, FALSE)</f>
        <v>5</v>
      </c>
      <c r="F185">
        <f>VLOOKUP($C185, published_rates!$A$2:$C$9, 2, FALSE)</f>
        <v>0.46</v>
      </c>
      <c r="G185">
        <f>VLOOKUP($C185, published_rates!$A$2:$C$9, 3, FALSE)</f>
        <v>5.4</v>
      </c>
      <c r="H185">
        <f>VLOOKUP($B185, demand!$A$2:$C$44, 2, FALSE)</f>
        <v>518.5200000000001</v>
      </c>
      <c r="I185">
        <f>VLOOKUP($B185, demand!$A$2:$C$44, 3, FALSE)</f>
        <v>18</v>
      </c>
      <c r="J185" t="str">
        <f>VLOOKUP($B185, distributors!$A$2:$C$44, 2, FALSE)</f>
        <v>Boise</v>
      </c>
      <c r="K185" t="str">
        <f>VLOOKUP($B185, distributors!$A$2:$C$44, 3, FALSE)</f>
        <v>ID</v>
      </c>
    </row>
    <row r="186" spans="1:11" x14ac:dyDescent="0.2">
      <c r="A186" s="2" t="s">
        <v>61</v>
      </c>
      <c r="B186" s="2">
        <v>84003</v>
      </c>
      <c r="C186" s="2">
        <v>4</v>
      </c>
      <c r="D186">
        <f>VLOOKUP($C186, private_rates!$A$2:$C$9, 2, FALSE)</f>
        <v>0.35</v>
      </c>
      <c r="E186">
        <f>VLOOKUP($C186, private_rates!$A$2:$C$9, 3, FALSE)</f>
        <v>4.6500000000000004</v>
      </c>
      <c r="F186">
        <f>VLOOKUP($C186, published_rates!$A$2:$C$9, 2, FALSE)</f>
        <v>0.41</v>
      </c>
      <c r="G186">
        <f>VLOOKUP($C186, published_rates!$A$2:$C$9, 3, FALSE)</f>
        <v>5</v>
      </c>
      <c r="H186">
        <f>VLOOKUP($B186, demand!$A$2:$C$44, 2, FALSE)</f>
        <v>706.61</v>
      </c>
      <c r="I186">
        <f>VLOOKUP($B186, demand!$A$2:$C$44, 3, FALSE)</f>
        <v>25</v>
      </c>
      <c r="J186" t="str">
        <f>VLOOKUP($B186, distributors!$A$2:$C$44, 2, FALSE)</f>
        <v>American Fork</v>
      </c>
      <c r="K186" t="str">
        <f>VLOOKUP($B186, distributors!$A$2:$C$44, 3, FALSE)</f>
        <v>UT</v>
      </c>
    </row>
    <row r="187" spans="1:11" x14ac:dyDescent="0.2">
      <c r="A187" s="2" t="s">
        <v>61</v>
      </c>
      <c r="B187" s="2">
        <v>84414</v>
      </c>
      <c r="C187" s="2">
        <v>4</v>
      </c>
      <c r="D187">
        <f>VLOOKUP($C187, private_rates!$A$2:$C$9, 2, FALSE)</f>
        <v>0.35</v>
      </c>
      <c r="E187">
        <f>VLOOKUP($C187, private_rates!$A$2:$C$9, 3, FALSE)</f>
        <v>4.6500000000000004</v>
      </c>
      <c r="F187">
        <f>VLOOKUP($C187, published_rates!$A$2:$C$9, 2, FALSE)</f>
        <v>0.41</v>
      </c>
      <c r="G187">
        <f>VLOOKUP($C187, published_rates!$A$2:$C$9, 3, FALSE)</f>
        <v>5</v>
      </c>
      <c r="H187">
        <f>VLOOKUP($B187, demand!$A$2:$C$44, 2, FALSE)</f>
        <v>613.67000000000007</v>
      </c>
      <c r="I187">
        <f>VLOOKUP($B187, demand!$A$2:$C$44, 3, FALSE)</f>
        <v>22</v>
      </c>
      <c r="J187" t="str">
        <f>VLOOKUP($B187, distributors!$A$2:$C$44, 2, FALSE)</f>
        <v>Ogden</v>
      </c>
      <c r="K187" t="str">
        <f>VLOOKUP($B187, distributors!$A$2:$C$44, 3, FALSE)</f>
        <v>UT</v>
      </c>
    </row>
    <row r="188" spans="1:11" x14ac:dyDescent="0.2">
      <c r="A188" s="2" t="s">
        <v>61</v>
      </c>
      <c r="B188" s="2">
        <v>84532</v>
      </c>
      <c r="C188" s="2">
        <v>3</v>
      </c>
      <c r="D188">
        <f>VLOOKUP($C188, private_rates!$A$2:$C$9, 2, FALSE)</f>
        <v>0.32</v>
      </c>
      <c r="E188">
        <f>VLOOKUP($C188, private_rates!$A$2:$C$9, 3, FALSE)</f>
        <v>4.3</v>
      </c>
      <c r="F188">
        <f>VLOOKUP($C188, published_rates!$A$2:$C$9, 2, FALSE)</f>
        <v>0.37</v>
      </c>
      <c r="G188">
        <f>VLOOKUP($C188, published_rates!$A$2:$C$9, 3, FALSE)</f>
        <v>4.6500000000000004</v>
      </c>
      <c r="H188">
        <f>VLOOKUP($B188, demand!$A$2:$C$44, 2, FALSE)</f>
        <v>339.5</v>
      </c>
      <c r="I188">
        <f>VLOOKUP($B188, demand!$A$2:$C$44, 3, FALSE)</f>
        <v>11</v>
      </c>
      <c r="J188" t="str">
        <f>VLOOKUP($B188, distributors!$A$2:$C$44, 2, FALSE)</f>
        <v>Moab</v>
      </c>
      <c r="K188" t="str">
        <f>VLOOKUP($B188, distributors!$A$2:$C$44, 3, FALSE)</f>
        <v>UT</v>
      </c>
    </row>
    <row r="189" spans="1:11" x14ac:dyDescent="0.2">
      <c r="A189" s="2" t="s">
        <v>61</v>
      </c>
      <c r="B189" s="2">
        <v>84780</v>
      </c>
      <c r="C189" s="2">
        <v>3</v>
      </c>
      <c r="D189">
        <f>VLOOKUP($C189, private_rates!$A$2:$C$9, 2, FALSE)</f>
        <v>0.32</v>
      </c>
      <c r="E189">
        <f>VLOOKUP($C189, private_rates!$A$2:$C$9, 3, FALSE)</f>
        <v>4.3</v>
      </c>
      <c r="F189">
        <f>VLOOKUP($C189, published_rates!$A$2:$C$9, 2, FALSE)</f>
        <v>0.37</v>
      </c>
      <c r="G189">
        <f>VLOOKUP($C189, published_rates!$A$2:$C$9, 3, FALSE)</f>
        <v>4.6500000000000004</v>
      </c>
      <c r="H189">
        <f>VLOOKUP($B189, demand!$A$2:$C$44, 2, FALSE)</f>
        <v>648.88</v>
      </c>
      <c r="I189">
        <f>VLOOKUP($B189, demand!$A$2:$C$44, 3, FALSE)</f>
        <v>22</v>
      </c>
      <c r="J189" t="str">
        <f>VLOOKUP($B189, distributors!$A$2:$C$44, 2, FALSE)</f>
        <v>Washington</v>
      </c>
      <c r="K189" t="str">
        <f>VLOOKUP($B189, distributors!$A$2:$C$44, 3, FALSE)</f>
        <v>UT</v>
      </c>
    </row>
    <row r="190" spans="1:11" x14ac:dyDescent="0.2">
      <c r="A190" s="2" t="s">
        <v>61</v>
      </c>
      <c r="B190" s="2">
        <v>85012</v>
      </c>
      <c r="C190" s="2">
        <v>2</v>
      </c>
      <c r="D190">
        <f>VLOOKUP($C190, private_rates!$A$2:$C$9, 2, FALSE)</f>
        <v>0.28000000000000003</v>
      </c>
      <c r="E190">
        <f>VLOOKUP($C190, private_rates!$A$2:$C$9, 3, FALSE)</f>
        <v>4</v>
      </c>
      <c r="F190">
        <f>VLOOKUP($C190, published_rates!$A$2:$C$9, 2, FALSE)</f>
        <v>0.33</v>
      </c>
      <c r="G190">
        <f>VLOOKUP($C190, published_rates!$A$2:$C$9, 3, FALSE)</f>
        <v>4.2</v>
      </c>
      <c r="H190">
        <f>VLOOKUP($B190, demand!$A$2:$C$44, 2, FALSE)</f>
        <v>685.8499999999998</v>
      </c>
      <c r="I190">
        <f>VLOOKUP($B190, demand!$A$2:$C$44, 3, FALSE)</f>
        <v>25</v>
      </c>
      <c r="J190" t="str">
        <f>VLOOKUP($B190, distributors!$A$2:$C$44, 2, FALSE)</f>
        <v>Phoeniz</v>
      </c>
      <c r="K190" t="str">
        <f>VLOOKUP($B190, distributors!$A$2:$C$44, 3, FALSE)</f>
        <v>AZ</v>
      </c>
    </row>
    <row r="191" spans="1:11" x14ac:dyDescent="0.2">
      <c r="A191" s="2" t="s">
        <v>61</v>
      </c>
      <c r="B191" s="2">
        <v>86004</v>
      </c>
      <c r="C191" s="2">
        <v>2</v>
      </c>
      <c r="D191">
        <f>VLOOKUP($C191, private_rates!$A$2:$C$9, 2, FALSE)</f>
        <v>0.28000000000000003</v>
      </c>
      <c r="E191">
        <f>VLOOKUP($C191, private_rates!$A$2:$C$9, 3, FALSE)</f>
        <v>4</v>
      </c>
      <c r="F191">
        <f>VLOOKUP($C191, published_rates!$A$2:$C$9, 2, FALSE)</f>
        <v>0.33</v>
      </c>
      <c r="G191">
        <f>VLOOKUP($C191, published_rates!$A$2:$C$9, 3, FALSE)</f>
        <v>4.2</v>
      </c>
      <c r="H191">
        <f>VLOOKUP($B191, demand!$A$2:$C$44, 2, FALSE)</f>
        <v>654.43000000000006</v>
      </c>
      <c r="I191">
        <f>VLOOKUP($B191, demand!$A$2:$C$44, 3, FALSE)</f>
        <v>24</v>
      </c>
      <c r="J191" t="str">
        <f>VLOOKUP($B191, distributors!$A$2:$C$44, 2, FALSE)</f>
        <v>Flagstaff</v>
      </c>
      <c r="K191" t="str">
        <f>VLOOKUP($B191, distributors!$A$2:$C$44, 3, FALSE)</f>
        <v>AZ</v>
      </c>
    </row>
    <row r="192" spans="1:11" x14ac:dyDescent="0.2">
      <c r="A192" s="2" t="s">
        <v>61</v>
      </c>
      <c r="B192" s="2">
        <v>86042</v>
      </c>
      <c r="C192" s="2">
        <v>2</v>
      </c>
      <c r="D192">
        <f>VLOOKUP($C192, private_rates!$A$2:$C$9, 2, FALSE)</f>
        <v>0.28000000000000003</v>
      </c>
      <c r="E192">
        <f>VLOOKUP($C192, private_rates!$A$2:$C$9, 3, FALSE)</f>
        <v>4</v>
      </c>
      <c r="F192">
        <f>VLOOKUP($C192, published_rates!$A$2:$C$9, 2, FALSE)</f>
        <v>0.33</v>
      </c>
      <c r="G192">
        <f>VLOOKUP($C192, published_rates!$A$2:$C$9, 3, FALSE)</f>
        <v>4.2</v>
      </c>
      <c r="H192">
        <f>VLOOKUP($B192, demand!$A$2:$C$44, 2, FALSE)</f>
        <v>522.40000000000009</v>
      </c>
      <c r="I192">
        <f>VLOOKUP($B192, demand!$A$2:$C$44, 3, FALSE)</f>
        <v>18</v>
      </c>
      <c r="J192" t="str">
        <f>VLOOKUP($B192, distributors!$A$2:$C$44, 2, FALSE)</f>
        <v>Polacca</v>
      </c>
      <c r="K192" t="str">
        <f>VLOOKUP($B192, distributors!$A$2:$C$44, 3, FALSE)</f>
        <v>AZ</v>
      </c>
    </row>
    <row r="193" spans="1:11" x14ac:dyDescent="0.2">
      <c r="A193" s="2" t="s">
        <v>61</v>
      </c>
      <c r="B193" s="2">
        <v>86314</v>
      </c>
      <c r="C193" s="2">
        <v>2</v>
      </c>
      <c r="D193">
        <f>VLOOKUP($C193, private_rates!$A$2:$C$9, 2, FALSE)</f>
        <v>0.28000000000000003</v>
      </c>
      <c r="E193">
        <f>VLOOKUP($C193, private_rates!$A$2:$C$9, 3, FALSE)</f>
        <v>4</v>
      </c>
      <c r="F193">
        <f>VLOOKUP($C193, published_rates!$A$2:$C$9, 2, FALSE)</f>
        <v>0.33</v>
      </c>
      <c r="G193">
        <f>VLOOKUP($C193, published_rates!$A$2:$C$9, 3, FALSE)</f>
        <v>4.2</v>
      </c>
      <c r="H193">
        <f>VLOOKUP($B193, demand!$A$2:$C$44, 2, FALSE)</f>
        <v>788.67000000000019</v>
      </c>
      <c r="I193">
        <f>VLOOKUP($B193, demand!$A$2:$C$44, 3, FALSE)</f>
        <v>27</v>
      </c>
      <c r="J193" t="str">
        <f>VLOOKUP($B193, distributors!$A$2:$C$44, 2, FALSE)</f>
        <v>Prescott Valley</v>
      </c>
      <c r="K193" t="str">
        <f>VLOOKUP($B193, distributors!$A$2:$C$44, 3, FALSE)</f>
        <v>AZ</v>
      </c>
    </row>
    <row r="194" spans="1:11" x14ac:dyDescent="0.2">
      <c r="A194" s="2" t="s">
        <v>61</v>
      </c>
      <c r="B194" s="2">
        <v>86426</v>
      </c>
      <c r="C194" s="2">
        <v>2</v>
      </c>
      <c r="D194">
        <f>VLOOKUP($C194, private_rates!$A$2:$C$9, 2, FALSE)</f>
        <v>0.28000000000000003</v>
      </c>
      <c r="E194">
        <f>VLOOKUP($C194, private_rates!$A$2:$C$9, 3, FALSE)</f>
        <v>4</v>
      </c>
      <c r="F194">
        <f>VLOOKUP($C194, published_rates!$A$2:$C$9, 2, FALSE)</f>
        <v>0.33</v>
      </c>
      <c r="G194">
        <f>VLOOKUP($C194, published_rates!$A$2:$C$9, 3, FALSE)</f>
        <v>4.2</v>
      </c>
      <c r="H194">
        <f>VLOOKUP($B194, demand!$A$2:$C$44, 2, FALSE)</f>
        <v>743.05000000000007</v>
      </c>
      <c r="I194">
        <f>VLOOKUP($B194, demand!$A$2:$C$44, 3, FALSE)</f>
        <v>26</v>
      </c>
      <c r="J194" t="str">
        <f>VLOOKUP($B194, distributors!$A$2:$C$44, 2, FALSE)</f>
        <v>Fort Mohave</v>
      </c>
      <c r="K194" t="str">
        <f>VLOOKUP($B194, distributors!$A$2:$C$44, 3, FALSE)</f>
        <v>AZ</v>
      </c>
    </row>
    <row r="195" spans="1:11" x14ac:dyDescent="0.2">
      <c r="A195" s="2" t="s">
        <v>61</v>
      </c>
      <c r="B195" s="2">
        <v>89104</v>
      </c>
      <c r="C195" s="2">
        <v>3</v>
      </c>
      <c r="D195">
        <f>VLOOKUP($C195, private_rates!$A$2:$C$9, 2, FALSE)</f>
        <v>0.32</v>
      </c>
      <c r="E195">
        <f>VLOOKUP($C195, private_rates!$A$2:$C$9, 3, FALSE)</f>
        <v>4.3</v>
      </c>
      <c r="F195">
        <f>VLOOKUP($C195, published_rates!$A$2:$C$9, 2, FALSE)</f>
        <v>0.37</v>
      </c>
      <c r="G195">
        <f>VLOOKUP($C195, published_rates!$A$2:$C$9, 3, FALSE)</f>
        <v>4.6500000000000004</v>
      </c>
      <c r="H195">
        <f>VLOOKUP($B195, demand!$A$2:$C$44, 2, FALSE)</f>
        <v>1033.9699999999998</v>
      </c>
      <c r="I195">
        <f>VLOOKUP($B195, demand!$A$2:$C$44, 3, FALSE)</f>
        <v>34</v>
      </c>
      <c r="J195" t="str">
        <f>VLOOKUP($B195, distributors!$A$2:$C$44, 2, FALSE)</f>
        <v>Las Vegas</v>
      </c>
      <c r="K195" t="str">
        <f>VLOOKUP($B195, distributors!$A$2:$C$44, 3, FALSE)</f>
        <v>NV</v>
      </c>
    </row>
    <row r="196" spans="1:11" x14ac:dyDescent="0.2">
      <c r="A196" s="2" t="s">
        <v>61</v>
      </c>
      <c r="B196" s="2">
        <v>89408</v>
      </c>
      <c r="C196" s="2">
        <v>4</v>
      </c>
      <c r="D196">
        <f>VLOOKUP($C196, private_rates!$A$2:$C$9, 2, FALSE)</f>
        <v>0.35</v>
      </c>
      <c r="E196">
        <f>VLOOKUP($C196, private_rates!$A$2:$C$9, 3, FALSE)</f>
        <v>4.6500000000000004</v>
      </c>
      <c r="F196">
        <f>VLOOKUP($C196, published_rates!$A$2:$C$9, 2, FALSE)</f>
        <v>0.41</v>
      </c>
      <c r="G196">
        <f>VLOOKUP($C196, published_rates!$A$2:$C$9, 3, FALSE)</f>
        <v>5</v>
      </c>
      <c r="H196">
        <f>VLOOKUP($B196, demand!$A$2:$C$44, 2, FALSE)</f>
        <v>664.08</v>
      </c>
      <c r="I196">
        <f>VLOOKUP($B196, demand!$A$2:$C$44, 3, FALSE)</f>
        <v>22</v>
      </c>
      <c r="J196" t="str">
        <f>VLOOKUP($B196, distributors!$A$2:$C$44, 2, FALSE)</f>
        <v>Fernley</v>
      </c>
      <c r="K196" t="str">
        <f>VLOOKUP($B196, distributors!$A$2:$C$44, 3, FALSE)</f>
        <v>NV</v>
      </c>
    </row>
    <row r="197" spans="1:11" x14ac:dyDescent="0.2">
      <c r="A197" s="2" t="s">
        <v>61</v>
      </c>
      <c r="B197" s="2">
        <v>89509</v>
      </c>
      <c r="C197" s="2">
        <v>4</v>
      </c>
      <c r="D197">
        <f>VLOOKUP($C197, private_rates!$A$2:$C$9, 2, FALSE)</f>
        <v>0.35</v>
      </c>
      <c r="E197">
        <f>VLOOKUP($C197, private_rates!$A$2:$C$9, 3, FALSE)</f>
        <v>4.6500000000000004</v>
      </c>
      <c r="F197">
        <f>VLOOKUP($C197, published_rates!$A$2:$C$9, 2, FALSE)</f>
        <v>0.41</v>
      </c>
      <c r="G197">
        <f>VLOOKUP($C197, published_rates!$A$2:$C$9, 3, FALSE)</f>
        <v>5</v>
      </c>
      <c r="H197">
        <f>VLOOKUP($B197, demand!$A$2:$C$44, 2, FALSE)</f>
        <v>707.57</v>
      </c>
      <c r="I197">
        <f>VLOOKUP($B197, demand!$A$2:$C$44, 3, FALSE)</f>
        <v>24</v>
      </c>
      <c r="J197" t="str">
        <f>VLOOKUP($B197, distributors!$A$2:$C$44, 2, FALSE)</f>
        <v>Reno</v>
      </c>
      <c r="K197" t="str">
        <f>VLOOKUP($B197, distributors!$A$2:$C$44, 3, FALSE)</f>
        <v>NV</v>
      </c>
    </row>
    <row r="198" spans="1:11" x14ac:dyDescent="0.2">
      <c r="A198" s="2" t="s">
        <v>61</v>
      </c>
      <c r="B198" s="2">
        <v>89822</v>
      </c>
      <c r="C198" s="2">
        <v>4</v>
      </c>
      <c r="D198">
        <f>VLOOKUP($C198, private_rates!$A$2:$C$9, 2, FALSE)</f>
        <v>0.35</v>
      </c>
      <c r="E198">
        <f>VLOOKUP($C198, private_rates!$A$2:$C$9, 3, FALSE)</f>
        <v>4.6500000000000004</v>
      </c>
      <c r="F198">
        <f>VLOOKUP($C198, published_rates!$A$2:$C$9, 2, FALSE)</f>
        <v>0.41</v>
      </c>
      <c r="G198">
        <f>VLOOKUP($C198, published_rates!$A$2:$C$9, 3, FALSE)</f>
        <v>5</v>
      </c>
      <c r="H198">
        <f>VLOOKUP($B198, demand!$A$2:$C$44, 2, FALSE)</f>
        <v>449.57000000000005</v>
      </c>
      <c r="I198">
        <f>VLOOKUP($B198, demand!$A$2:$C$44, 3, FALSE)</f>
        <v>15</v>
      </c>
      <c r="J198" t="str">
        <f>VLOOKUP($B198, distributors!$A$2:$C$44, 2, FALSE)</f>
        <v>Carlin</v>
      </c>
      <c r="K198" t="str">
        <f>VLOOKUP($B198, distributors!$A$2:$C$44, 3, FALSE)</f>
        <v>NV</v>
      </c>
    </row>
    <row r="199" spans="1:11" x14ac:dyDescent="0.2">
      <c r="A199" s="2" t="s">
        <v>61</v>
      </c>
      <c r="B199" s="2">
        <v>90061</v>
      </c>
      <c r="C199" s="2">
        <v>4</v>
      </c>
      <c r="D199">
        <f>VLOOKUP($C199, private_rates!$A$2:$C$9, 2, FALSE)</f>
        <v>0.35</v>
      </c>
      <c r="E199">
        <f>VLOOKUP($C199, private_rates!$A$2:$C$9, 3, FALSE)</f>
        <v>4.6500000000000004</v>
      </c>
      <c r="F199">
        <f>VLOOKUP($C199, published_rates!$A$2:$C$9, 2, FALSE)</f>
        <v>0.41</v>
      </c>
      <c r="G199">
        <f>VLOOKUP($C199, published_rates!$A$2:$C$9, 3, FALSE)</f>
        <v>5</v>
      </c>
      <c r="H199">
        <f>VLOOKUP($B199, demand!$A$2:$C$44, 2, FALSE)</f>
        <v>1106.2900000000002</v>
      </c>
      <c r="I199">
        <f>VLOOKUP($B199, demand!$A$2:$C$44, 3, FALSE)</f>
        <v>38</v>
      </c>
      <c r="J199" t="str">
        <f>VLOOKUP($B199, distributors!$A$2:$C$44, 2, FALSE)</f>
        <v>Los Angeles</v>
      </c>
      <c r="K199" t="str">
        <f>VLOOKUP($B199, distributors!$A$2:$C$44, 3, FALSE)</f>
        <v>CA</v>
      </c>
    </row>
    <row r="200" spans="1:11" x14ac:dyDescent="0.2">
      <c r="A200" s="2" t="s">
        <v>61</v>
      </c>
      <c r="B200" s="2">
        <v>93030</v>
      </c>
      <c r="C200" s="2">
        <v>4</v>
      </c>
      <c r="D200">
        <f>VLOOKUP($C200, private_rates!$A$2:$C$9, 2, FALSE)</f>
        <v>0.35</v>
      </c>
      <c r="E200">
        <f>VLOOKUP($C200, private_rates!$A$2:$C$9, 3, FALSE)</f>
        <v>4.6500000000000004</v>
      </c>
      <c r="F200">
        <f>VLOOKUP($C200, published_rates!$A$2:$C$9, 2, FALSE)</f>
        <v>0.41</v>
      </c>
      <c r="G200">
        <f>VLOOKUP($C200, published_rates!$A$2:$C$9, 3, FALSE)</f>
        <v>5</v>
      </c>
      <c r="H200">
        <f>VLOOKUP($B200, demand!$A$2:$C$44, 2, FALSE)</f>
        <v>716.37</v>
      </c>
      <c r="I200">
        <f>VLOOKUP($B200, demand!$A$2:$C$44, 3, FALSE)</f>
        <v>25</v>
      </c>
      <c r="J200" t="str">
        <f>VLOOKUP($B200, distributors!$A$2:$C$44, 2, FALSE)</f>
        <v>Oxnard</v>
      </c>
      <c r="K200" t="str">
        <f>VLOOKUP($B200, distributors!$A$2:$C$44, 3, FALSE)</f>
        <v>CA</v>
      </c>
    </row>
    <row r="201" spans="1:11" x14ac:dyDescent="0.2">
      <c r="A201" s="2" t="s">
        <v>61</v>
      </c>
      <c r="B201" s="2">
        <v>93427</v>
      </c>
      <c r="C201" s="2">
        <v>4</v>
      </c>
      <c r="D201">
        <f>VLOOKUP($C201, private_rates!$A$2:$C$9, 2, FALSE)</f>
        <v>0.35</v>
      </c>
      <c r="E201">
        <f>VLOOKUP($C201, private_rates!$A$2:$C$9, 3, FALSE)</f>
        <v>4.6500000000000004</v>
      </c>
      <c r="F201">
        <f>VLOOKUP($C201, published_rates!$A$2:$C$9, 2, FALSE)</f>
        <v>0.41</v>
      </c>
      <c r="G201">
        <f>VLOOKUP($C201, published_rates!$A$2:$C$9, 3, FALSE)</f>
        <v>5</v>
      </c>
      <c r="H201">
        <f>VLOOKUP($B201, demand!$A$2:$C$44, 2, FALSE)</f>
        <v>571.88000000000011</v>
      </c>
      <c r="I201">
        <f>VLOOKUP($B201, demand!$A$2:$C$44, 3, FALSE)</f>
        <v>18</v>
      </c>
      <c r="J201" t="str">
        <f>VLOOKUP($B201, distributors!$A$2:$C$44, 2, FALSE)</f>
        <v>Buellton</v>
      </c>
      <c r="K201" t="str">
        <f>VLOOKUP($B201, distributors!$A$2:$C$44, 3, FALSE)</f>
        <v>CA</v>
      </c>
    </row>
    <row r="202" spans="1:11" x14ac:dyDescent="0.2">
      <c r="A202" s="2" t="s">
        <v>61</v>
      </c>
      <c r="B202" s="2">
        <v>93703</v>
      </c>
      <c r="C202" s="2">
        <v>4</v>
      </c>
      <c r="D202">
        <f>VLOOKUP($C202, private_rates!$A$2:$C$9, 2, FALSE)</f>
        <v>0.35</v>
      </c>
      <c r="E202">
        <f>VLOOKUP($C202, private_rates!$A$2:$C$9, 3, FALSE)</f>
        <v>4.6500000000000004</v>
      </c>
      <c r="F202">
        <f>VLOOKUP($C202, published_rates!$A$2:$C$9, 2, FALSE)</f>
        <v>0.41</v>
      </c>
      <c r="G202">
        <f>VLOOKUP($C202, published_rates!$A$2:$C$9, 3, FALSE)</f>
        <v>5</v>
      </c>
      <c r="H202">
        <f>VLOOKUP($B202, demand!$A$2:$C$44, 2, FALSE)</f>
        <v>1164.45</v>
      </c>
      <c r="I202">
        <f>VLOOKUP($B202, demand!$A$2:$C$44, 3, FALSE)</f>
        <v>39</v>
      </c>
      <c r="J202" t="str">
        <f>VLOOKUP($B202, distributors!$A$2:$C$44, 2, FALSE)</f>
        <v>Fresno</v>
      </c>
      <c r="K202" t="str">
        <f>VLOOKUP($B202, distributors!$A$2:$C$44, 3, FALSE)</f>
        <v>CA</v>
      </c>
    </row>
    <row r="203" spans="1:11" x14ac:dyDescent="0.2">
      <c r="A203" s="2" t="s">
        <v>61</v>
      </c>
      <c r="B203" s="2">
        <v>93906</v>
      </c>
      <c r="C203" s="2">
        <v>4</v>
      </c>
      <c r="D203">
        <f>VLOOKUP($C203, private_rates!$A$2:$C$9, 2, FALSE)</f>
        <v>0.35</v>
      </c>
      <c r="E203">
        <f>VLOOKUP($C203, private_rates!$A$2:$C$9, 3, FALSE)</f>
        <v>4.6500000000000004</v>
      </c>
      <c r="F203">
        <f>VLOOKUP($C203, published_rates!$A$2:$C$9, 2, FALSE)</f>
        <v>0.41</v>
      </c>
      <c r="G203">
        <f>VLOOKUP($C203, published_rates!$A$2:$C$9, 3, FALSE)</f>
        <v>5</v>
      </c>
      <c r="H203">
        <f>VLOOKUP($B203, demand!$A$2:$C$44, 2, FALSE)</f>
        <v>894.16999999999985</v>
      </c>
      <c r="I203">
        <f>VLOOKUP($B203, demand!$A$2:$C$44, 3, FALSE)</f>
        <v>30</v>
      </c>
      <c r="J203" t="str">
        <f>VLOOKUP($B203, distributors!$A$2:$C$44, 2, FALSE)</f>
        <v>Salinas</v>
      </c>
      <c r="K203" t="str">
        <f>VLOOKUP($B203, distributors!$A$2:$C$44, 3, FALSE)</f>
        <v>CA</v>
      </c>
    </row>
    <row r="204" spans="1:11" x14ac:dyDescent="0.2">
      <c r="A204" s="2" t="s">
        <v>61</v>
      </c>
      <c r="B204" s="2">
        <v>94403</v>
      </c>
      <c r="C204" s="2">
        <v>4</v>
      </c>
      <c r="D204">
        <f>VLOOKUP($C204, private_rates!$A$2:$C$9, 2, FALSE)</f>
        <v>0.35</v>
      </c>
      <c r="E204">
        <f>VLOOKUP($C204, private_rates!$A$2:$C$9, 3, FALSE)</f>
        <v>4.6500000000000004</v>
      </c>
      <c r="F204">
        <f>VLOOKUP($C204, published_rates!$A$2:$C$9, 2, FALSE)</f>
        <v>0.41</v>
      </c>
      <c r="G204">
        <f>VLOOKUP($C204, published_rates!$A$2:$C$9, 3, FALSE)</f>
        <v>5</v>
      </c>
      <c r="H204">
        <f>VLOOKUP($B204, demand!$A$2:$C$44, 2, FALSE)</f>
        <v>724.06999999999994</v>
      </c>
      <c r="I204">
        <f>VLOOKUP($B204, demand!$A$2:$C$44, 3, FALSE)</f>
        <v>24</v>
      </c>
      <c r="J204" t="str">
        <f>VLOOKUP($B204, distributors!$A$2:$C$44, 2, FALSE)</f>
        <v>San Mateo</v>
      </c>
      <c r="K204" t="str">
        <f>VLOOKUP($B204, distributors!$A$2:$C$44, 3, FALSE)</f>
        <v>CA</v>
      </c>
    </row>
    <row r="205" spans="1:11" x14ac:dyDescent="0.2">
      <c r="A205" s="2" t="s">
        <v>61</v>
      </c>
      <c r="B205" s="2">
        <v>95051</v>
      </c>
      <c r="C205" s="2">
        <v>4</v>
      </c>
      <c r="D205">
        <f>VLOOKUP($C205, private_rates!$A$2:$C$9, 2, FALSE)</f>
        <v>0.35</v>
      </c>
      <c r="E205">
        <f>VLOOKUP($C205, private_rates!$A$2:$C$9, 3, FALSE)</f>
        <v>4.6500000000000004</v>
      </c>
      <c r="F205">
        <f>VLOOKUP($C205, published_rates!$A$2:$C$9, 2, FALSE)</f>
        <v>0.41</v>
      </c>
      <c r="G205">
        <f>VLOOKUP($C205, published_rates!$A$2:$C$9, 3, FALSE)</f>
        <v>5</v>
      </c>
      <c r="H205">
        <f>VLOOKUP($B205, demand!$A$2:$C$44, 2, FALSE)</f>
        <v>806.2600000000001</v>
      </c>
      <c r="I205">
        <f>VLOOKUP($B205, demand!$A$2:$C$44, 3, FALSE)</f>
        <v>26</v>
      </c>
      <c r="J205" t="str">
        <f>VLOOKUP($B205, distributors!$A$2:$C$44, 2, FALSE)</f>
        <v>Santa Clara</v>
      </c>
      <c r="K205" t="str">
        <f>VLOOKUP($B205, distributors!$A$2:$C$44, 3, FALSE)</f>
        <v>CA</v>
      </c>
    </row>
    <row r="206" spans="1:11" x14ac:dyDescent="0.2">
      <c r="A206" s="2" t="s">
        <v>61</v>
      </c>
      <c r="B206" s="2">
        <v>95993</v>
      </c>
      <c r="C206" s="2">
        <v>4</v>
      </c>
      <c r="D206">
        <f>VLOOKUP($C206, private_rates!$A$2:$C$9, 2, FALSE)</f>
        <v>0.35</v>
      </c>
      <c r="E206">
        <f>VLOOKUP($C206, private_rates!$A$2:$C$9, 3, FALSE)</f>
        <v>4.6500000000000004</v>
      </c>
      <c r="F206">
        <f>VLOOKUP($C206, published_rates!$A$2:$C$9, 2, FALSE)</f>
        <v>0.41</v>
      </c>
      <c r="G206">
        <f>VLOOKUP($C206, published_rates!$A$2:$C$9, 3, FALSE)</f>
        <v>5</v>
      </c>
      <c r="H206">
        <f>VLOOKUP($B206, demand!$A$2:$C$44, 2, FALSE)</f>
        <v>783.16</v>
      </c>
      <c r="I206">
        <f>VLOOKUP($B206, demand!$A$2:$C$44, 3, FALSE)</f>
        <v>26</v>
      </c>
      <c r="J206" t="str">
        <f>VLOOKUP($B206, distributors!$A$2:$C$44, 2, FALSE)</f>
        <v>Yuba City</v>
      </c>
      <c r="K206" t="str">
        <f>VLOOKUP($B206, distributors!$A$2:$C$44, 3, FALSE)</f>
        <v>CA</v>
      </c>
    </row>
    <row r="207" spans="1:11" x14ac:dyDescent="0.2">
      <c r="A207" s="2" t="s">
        <v>61</v>
      </c>
      <c r="B207" s="2">
        <v>96130</v>
      </c>
      <c r="C207" s="2">
        <v>4</v>
      </c>
      <c r="D207">
        <f>VLOOKUP($C207, private_rates!$A$2:$C$9, 2, FALSE)</f>
        <v>0.35</v>
      </c>
      <c r="E207">
        <f>VLOOKUP($C207, private_rates!$A$2:$C$9, 3, FALSE)</f>
        <v>4.6500000000000004</v>
      </c>
      <c r="F207">
        <f>VLOOKUP($C207, published_rates!$A$2:$C$9, 2, FALSE)</f>
        <v>0.41</v>
      </c>
      <c r="G207">
        <f>VLOOKUP($C207, published_rates!$A$2:$C$9, 3, FALSE)</f>
        <v>5</v>
      </c>
      <c r="H207">
        <f>VLOOKUP($B207, demand!$A$2:$C$44, 2, FALSE)</f>
        <v>488.46000000000004</v>
      </c>
      <c r="I207">
        <f>VLOOKUP($B207, demand!$A$2:$C$44, 3, FALSE)</f>
        <v>16</v>
      </c>
      <c r="J207" t="str">
        <f>VLOOKUP($B207, distributors!$A$2:$C$44, 2, FALSE)</f>
        <v>Susanville</v>
      </c>
      <c r="K207" t="str">
        <f>VLOOKUP($B207, distributors!$A$2:$C$44, 3, FALSE)</f>
        <v>CA</v>
      </c>
    </row>
    <row r="208" spans="1:11" x14ac:dyDescent="0.2">
      <c r="A208" s="2" t="s">
        <v>61</v>
      </c>
      <c r="B208" s="2">
        <v>97002</v>
      </c>
      <c r="C208" s="2">
        <v>5</v>
      </c>
      <c r="D208">
        <f>VLOOKUP($C208, private_rates!$A$2:$C$9, 2, FALSE)</f>
        <v>0.4</v>
      </c>
      <c r="E208">
        <f>VLOOKUP($C208, private_rates!$A$2:$C$9, 3, FALSE)</f>
        <v>5</v>
      </c>
      <c r="F208">
        <f>VLOOKUP($C208, published_rates!$A$2:$C$9, 2, FALSE)</f>
        <v>0.46</v>
      </c>
      <c r="G208">
        <f>VLOOKUP($C208, published_rates!$A$2:$C$9, 3, FALSE)</f>
        <v>5.4</v>
      </c>
      <c r="H208">
        <f>VLOOKUP($B208, demand!$A$2:$C$44, 2, FALSE)</f>
        <v>665.41999999999985</v>
      </c>
      <c r="I208">
        <f>VLOOKUP($B208, demand!$A$2:$C$44, 3, FALSE)</f>
        <v>22</v>
      </c>
      <c r="J208" t="str">
        <f>VLOOKUP($B208, distributors!$A$2:$C$44, 2, FALSE)</f>
        <v>Aurora</v>
      </c>
      <c r="K208" t="str">
        <f>VLOOKUP($B208, distributors!$A$2:$C$44, 3, FALSE)</f>
        <v>OR</v>
      </c>
    </row>
    <row r="209" spans="1:11" x14ac:dyDescent="0.2">
      <c r="A209" s="2" t="s">
        <v>61</v>
      </c>
      <c r="B209" s="2">
        <v>97524</v>
      </c>
      <c r="C209" s="2">
        <v>5</v>
      </c>
      <c r="D209">
        <f>VLOOKUP($C209, private_rates!$A$2:$C$9, 2, FALSE)</f>
        <v>0.4</v>
      </c>
      <c r="E209">
        <f>VLOOKUP($C209, private_rates!$A$2:$C$9, 3, FALSE)</f>
        <v>5</v>
      </c>
      <c r="F209">
        <f>VLOOKUP($C209, published_rates!$A$2:$C$9, 2, FALSE)</f>
        <v>0.46</v>
      </c>
      <c r="G209">
        <f>VLOOKUP($C209, published_rates!$A$2:$C$9, 3, FALSE)</f>
        <v>5.4</v>
      </c>
      <c r="H209">
        <f>VLOOKUP($B209, demand!$A$2:$C$44, 2, FALSE)</f>
        <v>935.86999999999989</v>
      </c>
      <c r="I209">
        <f>VLOOKUP($B209, demand!$A$2:$C$44, 3, FALSE)</f>
        <v>30</v>
      </c>
      <c r="J209" t="str">
        <f>VLOOKUP($B209, distributors!$A$2:$C$44, 2, FALSE)</f>
        <v>Eagle Point</v>
      </c>
      <c r="K209" t="str">
        <f>VLOOKUP($B209, distributors!$A$2:$C$44, 3, FALSE)</f>
        <v>OR</v>
      </c>
    </row>
    <row r="210" spans="1:11" x14ac:dyDescent="0.2">
      <c r="A210" s="2" t="s">
        <v>61</v>
      </c>
      <c r="B210" s="2">
        <v>97862</v>
      </c>
      <c r="C210" s="2">
        <v>5</v>
      </c>
      <c r="D210">
        <f>VLOOKUP($C210, private_rates!$A$2:$C$9, 2, FALSE)</f>
        <v>0.4</v>
      </c>
      <c r="E210">
        <f>VLOOKUP($C210, private_rates!$A$2:$C$9, 3, FALSE)</f>
        <v>5</v>
      </c>
      <c r="F210">
        <f>VLOOKUP($C210, published_rates!$A$2:$C$9, 2, FALSE)</f>
        <v>0.46</v>
      </c>
      <c r="G210">
        <f>VLOOKUP($C210, published_rates!$A$2:$C$9, 3, FALSE)</f>
        <v>5.4</v>
      </c>
      <c r="H210">
        <f>VLOOKUP($B210, demand!$A$2:$C$44, 2, FALSE)</f>
        <v>817.06</v>
      </c>
      <c r="I210">
        <f>VLOOKUP($B210, demand!$A$2:$C$44, 3, FALSE)</f>
        <v>26</v>
      </c>
      <c r="J210" t="str">
        <f>VLOOKUP($B210, distributors!$A$2:$C$44, 2, FALSE)</f>
        <v>Milton Freewater</v>
      </c>
      <c r="K210" t="str">
        <f>VLOOKUP($B210, distributors!$A$2:$C$44, 3, FALSE)</f>
        <v>OR</v>
      </c>
    </row>
    <row r="211" spans="1:11" x14ac:dyDescent="0.2">
      <c r="A211" s="2" t="s">
        <v>61</v>
      </c>
      <c r="B211" s="2">
        <v>97920</v>
      </c>
      <c r="C211" s="2">
        <v>5</v>
      </c>
      <c r="D211">
        <f>VLOOKUP($C211, private_rates!$A$2:$C$9, 2, FALSE)</f>
        <v>0.4</v>
      </c>
      <c r="E211">
        <f>VLOOKUP($C211, private_rates!$A$2:$C$9, 3, FALSE)</f>
        <v>5</v>
      </c>
      <c r="F211">
        <f>VLOOKUP($C211, published_rates!$A$2:$C$9, 2, FALSE)</f>
        <v>0.46</v>
      </c>
      <c r="G211">
        <f>VLOOKUP($C211, published_rates!$A$2:$C$9, 3, FALSE)</f>
        <v>5.4</v>
      </c>
      <c r="H211">
        <f>VLOOKUP($B211, demand!$A$2:$C$44, 2, FALSE)</f>
        <v>546.56999999999994</v>
      </c>
      <c r="I211">
        <f>VLOOKUP($B211, demand!$A$2:$C$44, 3, FALSE)</f>
        <v>16</v>
      </c>
      <c r="J211" t="str">
        <f>VLOOKUP($B211, distributors!$A$2:$C$44, 2, FALSE)</f>
        <v>Westfall</v>
      </c>
      <c r="K211" t="str">
        <f>VLOOKUP($B211, distributors!$A$2:$C$44, 3, FALSE)</f>
        <v>OR</v>
      </c>
    </row>
    <row r="212" spans="1:11" x14ac:dyDescent="0.2">
      <c r="A212" s="2" t="s">
        <v>61</v>
      </c>
      <c r="B212" s="2">
        <v>98059</v>
      </c>
      <c r="C212" s="2">
        <v>5</v>
      </c>
      <c r="D212">
        <f>VLOOKUP($C212, private_rates!$A$2:$C$9, 2, FALSE)</f>
        <v>0.4</v>
      </c>
      <c r="E212">
        <f>VLOOKUP($C212, private_rates!$A$2:$C$9, 3, FALSE)</f>
        <v>5</v>
      </c>
      <c r="F212">
        <f>VLOOKUP($C212, published_rates!$A$2:$C$9, 2, FALSE)</f>
        <v>0.46</v>
      </c>
      <c r="G212">
        <f>VLOOKUP($C212, published_rates!$A$2:$C$9, 3, FALSE)</f>
        <v>5.4</v>
      </c>
      <c r="H212">
        <f>VLOOKUP($B212, demand!$A$2:$C$44, 2, FALSE)</f>
        <v>968.45</v>
      </c>
      <c r="I212">
        <f>VLOOKUP($B212, demand!$A$2:$C$44, 3, FALSE)</f>
        <v>30</v>
      </c>
      <c r="J212" t="str">
        <f>VLOOKUP($B212, distributors!$A$2:$C$44, 2, FALSE)</f>
        <v>Renton</v>
      </c>
      <c r="K212" t="str">
        <f>VLOOKUP($B212, distributors!$A$2:$C$44, 3, FALSE)</f>
        <v>WA</v>
      </c>
    </row>
    <row r="213" spans="1:11" x14ac:dyDescent="0.2">
      <c r="A213" s="2" t="s">
        <v>61</v>
      </c>
      <c r="B213" s="2">
        <v>98248</v>
      </c>
      <c r="C213" s="2">
        <v>5</v>
      </c>
      <c r="D213">
        <f>VLOOKUP($C213, private_rates!$A$2:$C$9, 2, FALSE)</f>
        <v>0.4</v>
      </c>
      <c r="E213">
        <f>VLOOKUP($C213, private_rates!$A$2:$C$9, 3, FALSE)</f>
        <v>5</v>
      </c>
      <c r="F213">
        <f>VLOOKUP($C213, published_rates!$A$2:$C$9, 2, FALSE)</f>
        <v>0.46</v>
      </c>
      <c r="G213">
        <f>VLOOKUP($C213, published_rates!$A$2:$C$9, 3, FALSE)</f>
        <v>5.4</v>
      </c>
      <c r="H213">
        <f>VLOOKUP($B213, demand!$A$2:$C$44, 2, FALSE)</f>
        <v>752.47</v>
      </c>
      <c r="I213">
        <f>VLOOKUP($B213, demand!$A$2:$C$44, 3, FALSE)</f>
        <v>23</v>
      </c>
      <c r="J213" t="str">
        <f>VLOOKUP($B213, distributors!$A$2:$C$44, 2, FALSE)</f>
        <v>Ferndale</v>
      </c>
      <c r="K213" t="str">
        <f>VLOOKUP($B213, distributors!$A$2:$C$44, 3, FALSE)</f>
        <v>WA</v>
      </c>
    </row>
    <row r="214" spans="1:11" x14ac:dyDescent="0.2">
      <c r="A214" s="2" t="s">
        <v>61</v>
      </c>
      <c r="B214" s="2">
        <v>98812</v>
      </c>
      <c r="C214" s="2">
        <v>5</v>
      </c>
      <c r="D214">
        <f>VLOOKUP($C214, private_rates!$A$2:$C$9, 2, FALSE)</f>
        <v>0.4</v>
      </c>
      <c r="E214">
        <f>VLOOKUP($C214, private_rates!$A$2:$C$9, 3, FALSE)</f>
        <v>5</v>
      </c>
      <c r="F214">
        <f>VLOOKUP($C214, published_rates!$A$2:$C$9, 2, FALSE)</f>
        <v>0.46</v>
      </c>
      <c r="G214">
        <f>VLOOKUP($C214, published_rates!$A$2:$C$9, 3, FALSE)</f>
        <v>5.4</v>
      </c>
      <c r="H214">
        <f>VLOOKUP($B214, demand!$A$2:$C$44, 2, FALSE)</f>
        <v>679.12999999999977</v>
      </c>
      <c r="I214">
        <f>VLOOKUP($B214, demand!$A$2:$C$44, 3, FALSE)</f>
        <v>22</v>
      </c>
      <c r="J214" t="str">
        <f>VLOOKUP($B214, distributors!$A$2:$C$44, 2, FALSE)</f>
        <v>Brewster</v>
      </c>
      <c r="K214" t="str">
        <f>VLOOKUP($B214, distributors!$A$2:$C$44, 3, FALSE)</f>
        <v>WA</v>
      </c>
    </row>
    <row r="215" spans="1:11" x14ac:dyDescent="0.2">
      <c r="A215" s="2" t="s">
        <v>61</v>
      </c>
      <c r="B215" s="2">
        <v>99223</v>
      </c>
      <c r="C215" s="2">
        <v>5</v>
      </c>
      <c r="D215">
        <f>VLOOKUP($C215, private_rates!$A$2:$C$9, 2, FALSE)</f>
        <v>0.4</v>
      </c>
      <c r="E215">
        <f>VLOOKUP($C215, private_rates!$A$2:$C$9, 3, FALSE)</f>
        <v>5</v>
      </c>
      <c r="F215">
        <f>VLOOKUP($C215, published_rates!$A$2:$C$9, 2, FALSE)</f>
        <v>0.46</v>
      </c>
      <c r="G215">
        <f>VLOOKUP($C215, published_rates!$A$2:$C$9, 3, FALSE)</f>
        <v>5.4</v>
      </c>
      <c r="H215">
        <f>VLOOKUP($B215, demand!$A$2:$C$44, 2, FALSE)</f>
        <v>669.4</v>
      </c>
      <c r="I215">
        <f>VLOOKUP($B215, demand!$A$2:$C$44, 3, FALSE)</f>
        <v>21</v>
      </c>
      <c r="J215" t="str">
        <f>VLOOKUP($B215, distributors!$A$2:$C$44, 2, FALSE)</f>
        <v>Spokane</v>
      </c>
      <c r="K215" t="str">
        <f>VLOOKUP($B215, distributors!$A$2:$C$44, 3, FALSE)</f>
        <v>WA</v>
      </c>
    </row>
    <row r="216" spans="1:11" x14ac:dyDescent="0.2">
      <c r="A216" s="2" t="s">
        <v>61</v>
      </c>
      <c r="B216" s="2">
        <v>99350</v>
      </c>
      <c r="C216" s="2">
        <v>5</v>
      </c>
      <c r="D216">
        <f>VLOOKUP($C216, private_rates!$A$2:$C$9, 2, FALSE)</f>
        <v>0.4</v>
      </c>
      <c r="E216">
        <f>VLOOKUP($C216, private_rates!$A$2:$C$9, 3, FALSE)</f>
        <v>5</v>
      </c>
      <c r="F216">
        <f>VLOOKUP($C216, published_rates!$A$2:$C$9, 2, FALSE)</f>
        <v>0.46</v>
      </c>
      <c r="G216">
        <f>VLOOKUP($C216, published_rates!$A$2:$C$9, 3, FALSE)</f>
        <v>5.4</v>
      </c>
      <c r="H216">
        <f>VLOOKUP($B216, demand!$A$2:$C$44, 2, FALSE)</f>
        <v>711.80000000000018</v>
      </c>
      <c r="I216">
        <f>VLOOKUP($B216, demand!$A$2:$C$44, 3, FALSE)</f>
        <v>22</v>
      </c>
      <c r="J216" t="str">
        <f>VLOOKUP($B216, distributors!$A$2:$C$44, 2, FALSE)</f>
        <v>Prosser</v>
      </c>
      <c r="K216" t="str">
        <f>VLOOKUP($B216, distributors!$A$2:$C$44, 3, FALSE)</f>
        <v>WA</v>
      </c>
    </row>
    <row r="217" spans="1:11" x14ac:dyDescent="0.2">
      <c r="A217" s="2" t="s">
        <v>62</v>
      </c>
      <c r="B217" s="2">
        <v>59019</v>
      </c>
      <c r="C217" s="2">
        <v>5</v>
      </c>
      <c r="D217">
        <f>VLOOKUP($C217, private_rates!$A$2:$C$9, 2, FALSE)</f>
        <v>0.4</v>
      </c>
      <c r="E217">
        <f>VLOOKUP($C217, private_rates!$A$2:$C$9, 3, FALSE)</f>
        <v>5</v>
      </c>
      <c r="F217">
        <f>VLOOKUP($C217, published_rates!$A$2:$C$9, 2, FALSE)</f>
        <v>0.46</v>
      </c>
      <c r="G217">
        <f>VLOOKUP($C217, published_rates!$A$2:$C$9, 3, FALSE)</f>
        <v>5.4</v>
      </c>
      <c r="H217">
        <f>VLOOKUP($B217, demand!$A$2:$C$44, 2, FALSE)</f>
        <v>779.83999999999992</v>
      </c>
      <c r="I217">
        <f>VLOOKUP($B217, demand!$A$2:$C$44, 3, FALSE)</f>
        <v>30</v>
      </c>
      <c r="J217" t="str">
        <f>VLOOKUP($B217, distributors!$A$2:$C$44, 2, FALSE)</f>
        <v>Columbus</v>
      </c>
      <c r="K217" t="str">
        <f>VLOOKUP($B217, distributors!$A$2:$C$44, 3, FALSE)</f>
        <v>MT</v>
      </c>
    </row>
    <row r="218" spans="1:11" x14ac:dyDescent="0.2">
      <c r="A218" s="2" t="s">
        <v>62</v>
      </c>
      <c r="B218" s="2">
        <v>59634</v>
      </c>
      <c r="C218" s="2">
        <v>5</v>
      </c>
      <c r="D218">
        <f>VLOOKUP($C218, private_rates!$A$2:$C$9, 2, FALSE)</f>
        <v>0.4</v>
      </c>
      <c r="E218">
        <f>VLOOKUP($C218, private_rates!$A$2:$C$9, 3, FALSE)</f>
        <v>5</v>
      </c>
      <c r="F218">
        <f>VLOOKUP($C218, published_rates!$A$2:$C$9, 2, FALSE)</f>
        <v>0.46</v>
      </c>
      <c r="G218">
        <f>VLOOKUP($C218, published_rates!$A$2:$C$9, 3, FALSE)</f>
        <v>5.4</v>
      </c>
      <c r="H218">
        <f>VLOOKUP($B218, demand!$A$2:$C$44, 2, FALSE)</f>
        <v>730.32999999999993</v>
      </c>
      <c r="I218">
        <f>VLOOKUP($B218, demand!$A$2:$C$44, 3, FALSE)</f>
        <v>29</v>
      </c>
      <c r="J218" t="str">
        <f>VLOOKUP($B218, distributors!$A$2:$C$44, 2, FALSE)</f>
        <v>Clancy</v>
      </c>
      <c r="K218" t="str">
        <f>VLOOKUP($B218, distributors!$A$2:$C$44, 3, FALSE)</f>
        <v>MT</v>
      </c>
    </row>
    <row r="219" spans="1:11" x14ac:dyDescent="0.2">
      <c r="A219" s="2" t="s">
        <v>62</v>
      </c>
      <c r="B219" s="2">
        <v>59808</v>
      </c>
      <c r="C219" s="2">
        <v>5</v>
      </c>
      <c r="D219">
        <f>VLOOKUP($C219, private_rates!$A$2:$C$9, 2, FALSE)</f>
        <v>0.4</v>
      </c>
      <c r="E219">
        <f>VLOOKUP($C219, private_rates!$A$2:$C$9, 3, FALSE)</f>
        <v>5</v>
      </c>
      <c r="F219">
        <f>VLOOKUP($C219, published_rates!$A$2:$C$9, 2, FALSE)</f>
        <v>0.46</v>
      </c>
      <c r="G219">
        <f>VLOOKUP($C219, published_rates!$A$2:$C$9, 3, FALSE)</f>
        <v>5.4</v>
      </c>
      <c r="H219">
        <f>VLOOKUP($B219, demand!$A$2:$C$44, 2, FALSE)</f>
        <v>568.34</v>
      </c>
      <c r="I219">
        <f>VLOOKUP($B219, demand!$A$2:$C$44, 3, FALSE)</f>
        <v>23</v>
      </c>
      <c r="J219" t="str">
        <f>VLOOKUP($B219, distributors!$A$2:$C$44, 2, FALSE)</f>
        <v>Missoula</v>
      </c>
      <c r="K219" t="str">
        <f>VLOOKUP($B219, distributors!$A$2:$C$44, 3, FALSE)</f>
        <v>MT</v>
      </c>
    </row>
    <row r="220" spans="1:11" x14ac:dyDescent="0.2">
      <c r="A220" s="2" t="s">
        <v>62</v>
      </c>
      <c r="B220" s="2">
        <v>81321</v>
      </c>
      <c r="C220" s="2">
        <v>5</v>
      </c>
      <c r="D220">
        <f>VLOOKUP($C220, private_rates!$A$2:$C$9, 2, FALSE)</f>
        <v>0.4</v>
      </c>
      <c r="E220">
        <f>VLOOKUP($C220, private_rates!$A$2:$C$9, 3, FALSE)</f>
        <v>5</v>
      </c>
      <c r="F220">
        <f>VLOOKUP($C220, published_rates!$A$2:$C$9, 2, FALSE)</f>
        <v>0.46</v>
      </c>
      <c r="G220">
        <f>VLOOKUP($C220, published_rates!$A$2:$C$9, 3, FALSE)</f>
        <v>5.4</v>
      </c>
      <c r="H220">
        <f>VLOOKUP($B220, demand!$A$2:$C$44, 2, FALSE)</f>
        <v>759</v>
      </c>
      <c r="I220">
        <f>VLOOKUP($B220, demand!$A$2:$C$44, 3, FALSE)</f>
        <v>32</v>
      </c>
      <c r="J220" t="str">
        <f>VLOOKUP($B220, distributors!$A$2:$C$44, 2, FALSE)</f>
        <v>Cortez</v>
      </c>
      <c r="K220" t="str">
        <f>VLOOKUP($B220, distributors!$A$2:$C$44, 3, FALSE)</f>
        <v>CO</v>
      </c>
    </row>
    <row r="221" spans="1:11" x14ac:dyDescent="0.2">
      <c r="A221" s="2" t="s">
        <v>62</v>
      </c>
      <c r="B221" s="2">
        <v>81416</v>
      </c>
      <c r="C221" s="2">
        <v>5</v>
      </c>
      <c r="D221">
        <f>VLOOKUP($C221, private_rates!$A$2:$C$9, 2, FALSE)</f>
        <v>0.4</v>
      </c>
      <c r="E221">
        <f>VLOOKUP($C221, private_rates!$A$2:$C$9, 3, FALSE)</f>
        <v>5</v>
      </c>
      <c r="F221">
        <f>VLOOKUP($C221, published_rates!$A$2:$C$9, 2, FALSE)</f>
        <v>0.46</v>
      </c>
      <c r="G221">
        <f>VLOOKUP($C221, published_rates!$A$2:$C$9, 3, FALSE)</f>
        <v>5.4</v>
      </c>
      <c r="H221">
        <f>VLOOKUP($B221, demand!$A$2:$C$44, 2, FALSE)</f>
        <v>976.23</v>
      </c>
      <c r="I221">
        <f>VLOOKUP($B221, demand!$A$2:$C$44, 3, FALSE)</f>
        <v>37</v>
      </c>
      <c r="J221" t="str">
        <f>VLOOKUP($B221, distributors!$A$2:$C$44, 2, FALSE)</f>
        <v>Delta</v>
      </c>
      <c r="K221" t="str">
        <f>VLOOKUP($B221, distributors!$A$2:$C$44, 3, FALSE)</f>
        <v>CO</v>
      </c>
    </row>
    <row r="222" spans="1:11" x14ac:dyDescent="0.2">
      <c r="A222" s="2" t="s">
        <v>62</v>
      </c>
      <c r="B222" s="2">
        <v>81504</v>
      </c>
      <c r="C222" s="2">
        <v>5</v>
      </c>
      <c r="D222">
        <f>VLOOKUP($C222, private_rates!$A$2:$C$9, 2, FALSE)</f>
        <v>0.4</v>
      </c>
      <c r="E222">
        <f>VLOOKUP($C222, private_rates!$A$2:$C$9, 3, FALSE)</f>
        <v>5</v>
      </c>
      <c r="F222">
        <f>VLOOKUP($C222, published_rates!$A$2:$C$9, 2, FALSE)</f>
        <v>0.46</v>
      </c>
      <c r="G222">
        <f>VLOOKUP($C222, published_rates!$A$2:$C$9, 3, FALSE)</f>
        <v>5.4</v>
      </c>
      <c r="H222">
        <f>VLOOKUP($B222, demand!$A$2:$C$44, 2, FALSE)</f>
        <v>860.19000000000028</v>
      </c>
      <c r="I222">
        <f>VLOOKUP($B222, demand!$A$2:$C$44, 3, FALSE)</f>
        <v>32</v>
      </c>
      <c r="J222" t="str">
        <f>VLOOKUP($B222, distributors!$A$2:$C$44, 2, FALSE)</f>
        <v>Grand Junction</v>
      </c>
      <c r="K222" t="str">
        <f>VLOOKUP($B222, distributors!$A$2:$C$44, 3, FALSE)</f>
        <v>CO</v>
      </c>
    </row>
    <row r="223" spans="1:11" x14ac:dyDescent="0.2">
      <c r="A223" s="2" t="s">
        <v>62</v>
      </c>
      <c r="B223" s="2">
        <v>81650</v>
      </c>
      <c r="C223" s="2">
        <v>5</v>
      </c>
      <c r="D223">
        <f>VLOOKUP($C223, private_rates!$A$2:$C$9, 2, FALSE)</f>
        <v>0.4</v>
      </c>
      <c r="E223">
        <f>VLOOKUP($C223, private_rates!$A$2:$C$9, 3, FALSE)</f>
        <v>5</v>
      </c>
      <c r="F223">
        <f>VLOOKUP($C223, published_rates!$A$2:$C$9, 2, FALSE)</f>
        <v>0.46</v>
      </c>
      <c r="G223">
        <f>VLOOKUP($C223, published_rates!$A$2:$C$9, 3, FALSE)</f>
        <v>5.4</v>
      </c>
      <c r="H223">
        <f>VLOOKUP($B223, demand!$A$2:$C$44, 2, FALSE)</f>
        <v>585.81000000000006</v>
      </c>
      <c r="I223">
        <f>VLOOKUP($B223, demand!$A$2:$C$44, 3, FALSE)</f>
        <v>22</v>
      </c>
      <c r="J223" t="str">
        <f>VLOOKUP($B223, distributors!$A$2:$C$44, 2, FALSE)</f>
        <v>Rifle</v>
      </c>
      <c r="K223" t="str">
        <f>VLOOKUP($B223, distributors!$A$2:$C$44, 3, FALSE)</f>
        <v>CO</v>
      </c>
    </row>
    <row r="224" spans="1:11" x14ac:dyDescent="0.2">
      <c r="A224" s="2" t="s">
        <v>62</v>
      </c>
      <c r="B224" s="2">
        <v>83014</v>
      </c>
      <c r="C224" s="2">
        <v>5</v>
      </c>
      <c r="D224">
        <f>VLOOKUP($C224, private_rates!$A$2:$C$9, 2, FALSE)</f>
        <v>0.4</v>
      </c>
      <c r="E224">
        <f>VLOOKUP($C224, private_rates!$A$2:$C$9, 3, FALSE)</f>
        <v>5</v>
      </c>
      <c r="F224">
        <f>VLOOKUP($C224, published_rates!$A$2:$C$9, 2, FALSE)</f>
        <v>0.46</v>
      </c>
      <c r="G224">
        <f>VLOOKUP($C224, published_rates!$A$2:$C$9, 3, FALSE)</f>
        <v>5.4</v>
      </c>
      <c r="H224">
        <f>VLOOKUP($B224, demand!$A$2:$C$44, 2, FALSE)</f>
        <v>412.08000000000004</v>
      </c>
      <c r="I224">
        <f>VLOOKUP($B224, demand!$A$2:$C$44, 3, FALSE)</f>
        <v>15</v>
      </c>
      <c r="J224" t="str">
        <f>VLOOKUP($B224, distributors!$A$2:$C$44, 2, FALSE)</f>
        <v>Wilson</v>
      </c>
      <c r="K224" t="str">
        <f>VLOOKUP($B224, distributors!$A$2:$C$44, 3, FALSE)</f>
        <v>WY</v>
      </c>
    </row>
    <row r="225" spans="1:11" x14ac:dyDescent="0.2">
      <c r="A225" s="2" t="s">
        <v>62</v>
      </c>
      <c r="B225" s="2">
        <v>83338</v>
      </c>
      <c r="C225" s="2">
        <v>4</v>
      </c>
      <c r="D225">
        <f>VLOOKUP($C225, private_rates!$A$2:$C$9, 2, FALSE)</f>
        <v>0.35</v>
      </c>
      <c r="E225">
        <f>VLOOKUP($C225, private_rates!$A$2:$C$9, 3, FALSE)</f>
        <v>4.6500000000000004</v>
      </c>
      <c r="F225">
        <f>VLOOKUP($C225, published_rates!$A$2:$C$9, 2, FALSE)</f>
        <v>0.41</v>
      </c>
      <c r="G225">
        <f>VLOOKUP($C225, published_rates!$A$2:$C$9, 3, FALSE)</f>
        <v>5</v>
      </c>
      <c r="H225">
        <f>VLOOKUP($B225, demand!$A$2:$C$44, 2, FALSE)</f>
        <v>546.12999999999988</v>
      </c>
      <c r="I225">
        <f>VLOOKUP($B225, demand!$A$2:$C$44, 3, FALSE)</f>
        <v>21</v>
      </c>
      <c r="J225" t="str">
        <f>VLOOKUP($B225, distributors!$A$2:$C$44, 2, FALSE)</f>
        <v>Jerome</v>
      </c>
      <c r="K225" t="str">
        <f>VLOOKUP($B225, distributors!$A$2:$C$44, 3, FALSE)</f>
        <v>ID</v>
      </c>
    </row>
    <row r="226" spans="1:11" x14ac:dyDescent="0.2">
      <c r="A226" s="2" t="s">
        <v>62</v>
      </c>
      <c r="B226" s="2">
        <v>83544</v>
      </c>
      <c r="C226" s="2">
        <v>4</v>
      </c>
      <c r="D226">
        <f>VLOOKUP($C226, private_rates!$A$2:$C$9, 2, FALSE)</f>
        <v>0.35</v>
      </c>
      <c r="E226">
        <f>VLOOKUP($C226, private_rates!$A$2:$C$9, 3, FALSE)</f>
        <v>4.6500000000000004</v>
      </c>
      <c r="F226">
        <f>VLOOKUP($C226, published_rates!$A$2:$C$9, 2, FALSE)</f>
        <v>0.41</v>
      </c>
      <c r="G226">
        <f>VLOOKUP($C226, published_rates!$A$2:$C$9, 3, FALSE)</f>
        <v>5</v>
      </c>
      <c r="H226">
        <f>VLOOKUP($B226, demand!$A$2:$C$44, 2, FALSE)</f>
        <v>599.47</v>
      </c>
      <c r="I226">
        <f>VLOOKUP($B226, demand!$A$2:$C$44, 3, FALSE)</f>
        <v>22</v>
      </c>
      <c r="J226" t="str">
        <f>VLOOKUP($B226, distributors!$A$2:$C$44, 2, FALSE)</f>
        <v>Orofino</v>
      </c>
      <c r="K226" t="str">
        <f>VLOOKUP($B226, distributors!$A$2:$C$44, 3, FALSE)</f>
        <v>ID</v>
      </c>
    </row>
    <row r="227" spans="1:11" x14ac:dyDescent="0.2">
      <c r="A227" s="2" t="s">
        <v>62</v>
      </c>
      <c r="B227" s="2">
        <v>83638</v>
      </c>
      <c r="C227" s="2">
        <v>4</v>
      </c>
      <c r="D227">
        <f>VLOOKUP($C227, private_rates!$A$2:$C$9, 2, FALSE)</f>
        <v>0.35</v>
      </c>
      <c r="E227">
        <f>VLOOKUP($C227, private_rates!$A$2:$C$9, 3, FALSE)</f>
        <v>4.6500000000000004</v>
      </c>
      <c r="F227">
        <f>VLOOKUP($C227, published_rates!$A$2:$C$9, 2, FALSE)</f>
        <v>0.41</v>
      </c>
      <c r="G227">
        <f>VLOOKUP($C227, published_rates!$A$2:$C$9, 3, FALSE)</f>
        <v>5</v>
      </c>
      <c r="H227">
        <f>VLOOKUP($B227, demand!$A$2:$C$44, 2, FALSE)</f>
        <v>853.4100000000002</v>
      </c>
      <c r="I227">
        <f>VLOOKUP($B227, demand!$A$2:$C$44, 3, FALSE)</f>
        <v>30</v>
      </c>
      <c r="J227" t="str">
        <f>VLOOKUP($B227, distributors!$A$2:$C$44, 2, FALSE)</f>
        <v>McCall</v>
      </c>
      <c r="K227" t="str">
        <f>VLOOKUP($B227, distributors!$A$2:$C$44, 3, FALSE)</f>
        <v>ID</v>
      </c>
    </row>
    <row r="228" spans="1:11" x14ac:dyDescent="0.2">
      <c r="A228" s="2" t="s">
        <v>62</v>
      </c>
      <c r="B228" s="2">
        <v>83706</v>
      </c>
      <c r="C228" s="2">
        <v>4</v>
      </c>
      <c r="D228">
        <f>VLOOKUP($C228, private_rates!$A$2:$C$9, 2, FALSE)</f>
        <v>0.35</v>
      </c>
      <c r="E228">
        <f>VLOOKUP($C228, private_rates!$A$2:$C$9, 3, FALSE)</f>
        <v>4.6500000000000004</v>
      </c>
      <c r="F228">
        <f>VLOOKUP($C228, published_rates!$A$2:$C$9, 2, FALSE)</f>
        <v>0.41</v>
      </c>
      <c r="G228">
        <f>VLOOKUP($C228, published_rates!$A$2:$C$9, 3, FALSE)</f>
        <v>5</v>
      </c>
      <c r="H228">
        <f>VLOOKUP($B228, demand!$A$2:$C$44, 2, FALSE)</f>
        <v>518.5200000000001</v>
      </c>
      <c r="I228">
        <f>VLOOKUP($B228, demand!$A$2:$C$44, 3, FALSE)</f>
        <v>18</v>
      </c>
      <c r="J228" t="str">
        <f>VLOOKUP($B228, distributors!$A$2:$C$44, 2, FALSE)</f>
        <v>Boise</v>
      </c>
      <c r="K228" t="str">
        <f>VLOOKUP($B228, distributors!$A$2:$C$44, 3, FALSE)</f>
        <v>ID</v>
      </c>
    </row>
    <row r="229" spans="1:11" x14ac:dyDescent="0.2">
      <c r="A229" s="2" t="s">
        <v>62</v>
      </c>
      <c r="B229" s="2">
        <v>84003</v>
      </c>
      <c r="C229" s="2">
        <v>4</v>
      </c>
      <c r="D229">
        <f>VLOOKUP($C229, private_rates!$A$2:$C$9, 2, FALSE)</f>
        <v>0.35</v>
      </c>
      <c r="E229">
        <f>VLOOKUP($C229, private_rates!$A$2:$C$9, 3, FALSE)</f>
        <v>4.6500000000000004</v>
      </c>
      <c r="F229">
        <f>VLOOKUP($C229, published_rates!$A$2:$C$9, 2, FALSE)</f>
        <v>0.41</v>
      </c>
      <c r="G229">
        <f>VLOOKUP($C229, published_rates!$A$2:$C$9, 3, FALSE)</f>
        <v>5</v>
      </c>
      <c r="H229">
        <f>VLOOKUP($B229, demand!$A$2:$C$44, 2, FALSE)</f>
        <v>706.61</v>
      </c>
      <c r="I229">
        <f>VLOOKUP($B229, demand!$A$2:$C$44, 3, FALSE)</f>
        <v>25</v>
      </c>
      <c r="J229" t="str">
        <f>VLOOKUP($B229, distributors!$A$2:$C$44, 2, FALSE)</f>
        <v>American Fork</v>
      </c>
      <c r="K229" t="str">
        <f>VLOOKUP($B229, distributors!$A$2:$C$44, 3, FALSE)</f>
        <v>UT</v>
      </c>
    </row>
    <row r="230" spans="1:11" x14ac:dyDescent="0.2">
      <c r="A230" s="2" t="s">
        <v>62</v>
      </c>
      <c r="B230" s="2">
        <v>84414</v>
      </c>
      <c r="C230" s="2">
        <v>4</v>
      </c>
      <c r="D230">
        <f>VLOOKUP($C230, private_rates!$A$2:$C$9, 2, FALSE)</f>
        <v>0.35</v>
      </c>
      <c r="E230">
        <f>VLOOKUP($C230, private_rates!$A$2:$C$9, 3, FALSE)</f>
        <v>4.6500000000000004</v>
      </c>
      <c r="F230">
        <f>VLOOKUP($C230, published_rates!$A$2:$C$9, 2, FALSE)</f>
        <v>0.41</v>
      </c>
      <c r="G230">
        <f>VLOOKUP($C230, published_rates!$A$2:$C$9, 3, FALSE)</f>
        <v>5</v>
      </c>
      <c r="H230">
        <f>VLOOKUP($B230, demand!$A$2:$C$44, 2, FALSE)</f>
        <v>613.67000000000007</v>
      </c>
      <c r="I230">
        <f>VLOOKUP($B230, demand!$A$2:$C$44, 3, FALSE)</f>
        <v>22</v>
      </c>
      <c r="J230" t="str">
        <f>VLOOKUP($B230, distributors!$A$2:$C$44, 2, FALSE)</f>
        <v>Ogden</v>
      </c>
      <c r="K230" t="str">
        <f>VLOOKUP($B230, distributors!$A$2:$C$44, 3, FALSE)</f>
        <v>UT</v>
      </c>
    </row>
    <row r="231" spans="1:11" x14ac:dyDescent="0.2">
      <c r="A231" s="2" t="s">
        <v>62</v>
      </c>
      <c r="B231" s="2">
        <v>84532</v>
      </c>
      <c r="C231" s="2">
        <v>4</v>
      </c>
      <c r="D231">
        <f>VLOOKUP($C231, private_rates!$A$2:$C$9, 2, FALSE)</f>
        <v>0.35</v>
      </c>
      <c r="E231">
        <f>VLOOKUP($C231, private_rates!$A$2:$C$9, 3, FALSE)</f>
        <v>4.6500000000000004</v>
      </c>
      <c r="F231">
        <f>VLOOKUP($C231, published_rates!$A$2:$C$9, 2, FALSE)</f>
        <v>0.41</v>
      </c>
      <c r="G231">
        <f>VLOOKUP($C231, published_rates!$A$2:$C$9, 3, FALSE)</f>
        <v>5</v>
      </c>
      <c r="H231">
        <f>VLOOKUP($B231, demand!$A$2:$C$44, 2, FALSE)</f>
        <v>339.5</v>
      </c>
      <c r="I231">
        <f>VLOOKUP($B231, demand!$A$2:$C$44, 3, FALSE)</f>
        <v>11</v>
      </c>
      <c r="J231" t="str">
        <f>VLOOKUP($B231, distributors!$A$2:$C$44, 2, FALSE)</f>
        <v>Moab</v>
      </c>
      <c r="K231" t="str">
        <f>VLOOKUP($B231, distributors!$A$2:$C$44, 3, FALSE)</f>
        <v>UT</v>
      </c>
    </row>
    <row r="232" spans="1:11" x14ac:dyDescent="0.2">
      <c r="A232" s="2" t="s">
        <v>62</v>
      </c>
      <c r="B232" s="2">
        <v>84780</v>
      </c>
      <c r="C232" s="2">
        <v>4</v>
      </c>
      <c r="D232">
        <f>VLOOKUP($C232, private_rates!$A$2:$C$9, 2, FALSE)</f>
        <v>0.35</v>
      </c>
      <c r="E232">
        <f>VLOOKUP($C232, private_rates!$A$2:$C$9, 3, FALSE)</f>
        <v>4.6500000000000004</v>
      </c>
      <c r="F232">
        <f>VLOOKUP($C232, published_rates!$A$2:$C$9, 2, FALSE)</f>
        <v>0.41</v>
      </c>
      <c r="G232">
        <f>VLOOKUP($C232, published_rates!$A$2:$C$9, 3, FALSE)</f>
        <v>5</v>
      </c>
      <c r="H232">
        <f>VLOOKUP($B232, demand!$A$2:$C$44, 2, FALSE)</f>
        <v>648.88</v>
      </c>
      <c r="I232">
        <f>VLOOKUP($B232, demand!$A$2:$C$44, 3, FALSE)</f>
        <v>22</v>
      </c>
      <c r="J232" t="str">
        <f>VLOOKUP($B232, distributors!$A$2:$C$44, 2, FALSE)</f>
        <v>Washington</v>
      </c>
      <c r="K232" t="str">
        <f>VLOOKUP($B232, distributors!$A$2:$C$44, 3, FALSE)</f>
        <v>UT</v>
      </c>
    </row>
    <row r="233" spans="1:11" x14ac:dyDescent="0.2">
      <c r="A233" s="2" t="s">
        <v>62</v>
      </c>
      <c r="B233" s="2">
        <v>85012</v>
      </c>
      <c r="C233" s="2">
        <v>5</v>
      </c>
      <c r="D233">
        <f>VLOOKUP($C233, private_rates!$A$2:$C$9, 2, FALSE)</f>
        <v>0.4</v>
      </c>
      <c r="E233">
        <f>VLOOKUP($C233, private_rates!$A$2:$C$9, 3, FALSE)</f>
        <v>5</v>
      </c>
      <c r="F233">
        <f>VLOOKUP($C233, published_rates!$A$2:$C$9, 2, FALSE)</f>
        <v>0.46</v>
      </c>
      <c r="G233">
        <f>VLOOKUP($C233, published_rates!$A$2:$C$9, 3, FALSE)</f>
        <v>5.4</v>
      </c>
      <c r="H233">
        <f>VLOOKUP($B233, demand!$A$2:$C$44, 2, FALSE)</f>
        <v>685.8499999999998</v>
      </c>
      <c r="I233">
        <f>VLOOKUP($B233, demand!$A$2:$C$44, 3, FALSE)</f>
        <v>25</v>
      </c>
      <c r="J233" t="str">
        <f>VLOOKUP($B233, distributors!$A$2:$C$44, 2, FALSE)</f>
        <v>Phoeniz</v>
      </c>
      <c r="K233" t="str">
        <f>VLOOKUP($B233, distributors!$A$2:$C$44, 3, FALSE)</f>
        <v>AZ</v>
      </c>
    </row>
    <row r="234" spans="1:11" x14ac:dyDescent="0.2">
      <c r="A234" s="2" t="s">
        <v>62</v>
      </c>
      <c r="B234" s="2">
        <v>86004</v>
      </c>
      <c r="C234" s="2">
        <v>4</v>
      </c>
      <c r="D234">
        <f>VLOOKUP($C234, private_rates!$A$2:$C$9, 2, FALSE)</f>
        <v>0.35</v>
      </c>
      <c r="E234">
        <f>VLOOKUP($C234, private_rates!$A$2:$C$9, 3, FALSE)</f>
        <v>4.6500000000000004</v>
      </c>
      <c r="F234">
        <f>VLOOKUP($C234, published_rates!$A$2:$C$9, 2, FALSE)</f>
        <v>0.41</v>
      </c>
      <c r="G234">
        <f>VLOOKUP($C234, published_rates!$A$2:$C$9, 3, FALSE)</f>
        <v>5</v>
      </c>
      <c r="H234">
        <f>VLOOKUP($B234, demand!$A$2:$C$44, 2, FALSE)</f>
        <v>654.43000000000006</v>
      </c>
      <c r="I234">
        <f>VLOOKUP($B234, demand!$A$2:$C$44, 3, FALSE)</f>
        <v>24</v>
      </c>
      <c r="J234" t="str">
        <f>VLOOKUP($B234, distributors!$A$2:$C$44, 2, FALSE)</f>
        <v>Flagstaff</v>
      </c>
      <c r="K234" t="str">
        <f>VLOOKUP($B234, distributors!$A$2:$C$44, 3, FALSE)</f>
        <v>AZ</v>
      </c>
    </row>
    <row r="235" spans="1:11" x14ac:dyDescent="0.2">
      <c r="A235" s="2" t="s">
        <v>62</v>
      </c>
      <c r="B235" s="2">
        <v>86042</v>
      </c>
      <c r="C235" s="2">
        <v>4</v>
      </c>
      <c r="D235">
        <f>VLOOKUP($C235, private_rates!$A$2:$C$9, 2, FALSE)</f>
        <v>0.35</v>
      </c>
      <c r="E235">
        <f>VLOOKUP($C235, private_rates!$A$2:$C$9, 3, FALSE)</f>
        <v>4.6500000000000004</v>
      </c>
      <c r="F235">
        <f>VLOOKUP($C235, published_rates!$A$2:$C$9, 2, FALSE)</f>
        <v>0.41</v>
      </c>
      <c r="G235">
        <f>VLOOKUP($C235, published_rates!$A$2:$C$9, 3, FALSE)</f>
        <v>5</v>
      </c>
      <c r="H235">
        <f>VLOOKUP($B235, demand!$A$2:$C$44, 2, FALSE)</f>
        <v>522.40000000000009</v>
      </c>
      <c r="I235">
        <f>VLOOKUP($B235, demand!$A$2:$C$44, 3, FALSE)</f>
        <v>18</v>
      </c>
      <c r="J235" t="str">
        <f>VLOOKUP($B235, distributors!$A$2:$C$44, 2, FALSE)</f>
        <v>Polacca</v>
      </c>
      <c r="K235" t="str">
        <f>VLOOKUP($B235, distributors!$A$2:$C$44, 3, FALSE)</f>
        <v>AZ</v>
      </c>
    </row>
    <row r="236" spans="1:11" x14ac:dyDescent="0.2">
      <c r="A236" s="2" t="s">
        <v>62</v>
      </c>
      <c r="B236" s="2">
        <v>86314</v>
      </c>
      <c r="C236" s="2">
        <v>4</v>
      </c>
      <c r="D236">
        <f>VLOOKUP($C236, private_rates!$A$2:$C$9, 2, FALSE)</f>
        <v>0.35</v>
      </c>
      <c r="E236">
        <f>VLOOKUP($C236, private_rates!$A$2:$C$9, 3, FALSE)</f>
        <v>4.6500000000000004</v>
      </c>
      <c r="F236">
        <f>VLOOKUP($C236, published_rates!$A$2:$C$9, 2, FALSE)</f>
        <v>0.41</v>
      </c>
      <c r="G236">
        <f>VLOOKUP($C236, published_rates!$A$2:$C$9, 3, FALSE)</f>
        <v>5</v>
      </c>
      <c r="H236">
        <f>VLOOKUP($B236, demand!$A$2:$C$44, 2, FALSE)</f>
        <v>788.67000000000019</v>
      </c>
      <c r="I236">
        <f>VLOOKUP($B236, demand!$A$2:$C$44, 3, FALSE)</f>
        <v>27</v>
      </c>
      <c r="J236" t="str">
        <f>VLOOKUP($B236, distributors!$A$2:$C$44, 2, FALSE)</f>
        <v>Prescott Valley</v>
      </c>
      <c r="K236" t="str">
        <f>VLOOKUP($B236, distributors!$A$2:$C$44, 3, FALSE)</f>
        <v>AZ</v>
      </c>
    </row>
    <row r="237" spans="1:11" x14ac:dyDescent="0.2">
      <c r="A237" s="2" t="s">
        <v>62</v>
      </c>
      <c r="B237" s="2">
        <v>86426</v>
      </c>
      <c r="C237" s="2">
        <v>4</v>
      </c>
      <c r="D237">
        <f>VLOOKUP($C237, private_rates!$A$2:$C$9, 2, FALSE)</f>
        <v>0.35</v>
      </c>
      <c r="E237">
        <f>VLOOKUP($C237, private_rates!$A$2:$C$9, 3, FALSE)</f>
        <v>4.6500000000000004</v>
      </c>
      <c r="F237">
        <f>VLOOKUP($C237, published_rates!$A$2:$C$9, 2, FALSE)</f>
        <v>0.41</v>
      </c>
      <c r="G237">
        <f>VLOOKUP($C237, published_rates!$A$2:$C$9, 3, FALSE)</f>
        <v>5</v>
      </c>
      <c r="H237">
        <f>VLOOKUP($B237, demand!$A$2:$C$44, 2, FALSE)</f>
        <v>743.05000000000007</v>
      </c>
      <c r="I237">
        <f>VLOOKUP($B237, demand!$A$2:$C$44, 3, FALSE)</f>
        <v>26</v>
      </c>
      <c r="J237" t="str">
        <f>VLOOKUP($B237, distributors!$A$2:$C$44, 2, FALSE)</f>
        <v>Fort Mohave</v>
      </c>
      <c r="K237" t="str">
        <f>VLOOKUP($B237, distributors!$A$2:$C$44, 3, FALSE)</f>
        <v>AZ</v>
      </c>
    </row>
    <row r="238" spans="1:11" x14ac:dyDescent="0.2">
      <c r="A238" s="2" t="s">
        <v>62</v>
      </c>
      <c r="B238" s="2">
        <v>89104</v>
      </c>
      <c r="C238" s="2">
        <v>4</v>
      </c>
      <c r="D238">
        <f>VLOOKUP($C238, private_rates!$A$2:$C$9, 2, FALSE)</f>
        <v>0.35</v>
      </c>
      <c r="E238">
        <f>VLOOKUP($C238, private_rates!$A$2:$C$9, 3, FALSE)</f>
        <v>4.6500000000000004</v>
      </c>
      <c r="F238">
        <f>VLOOKUP($C238, published_rates!$A$2:$C$9, 2, FALSE)</f>
        <v>0.41</v>
      </c>
      <c r="G238">
        <f>VLOOKUP($C238, published_rates!$A$2:$C$9, 3, FALSE)</f>
        <v>5</v>
      </c>
      <c r="H238">
        <f>VLOOKUP($B238, demand!$A$2:$C$44, 2, FALSE)</f>
        <v>1033.9699999999998</v>
      </c>
      <c r="I238">
        <f>VLOOKUP($B238, demand!$A$2:$C$44, 3, FALSE)</f>
        <v>34</v>
      </c>
      <c r="J238" t="str">
        <f>VLOOKUP($B238, distributors!$A$2:$C$44, 2, FALSE)</f>
        <v>Las Vegas</v>
      </c>
      <c r="K238" t="str">
        <f>VLOOKUP($B238, distributors!$A$2:$C$44, 3, FALSE)</f>
        <v>NV</v>
      </c>
    </row>
    <row r="239" spans="1:11" x14ac:dyDescent="0.2">
      <c r="A239" s="2" t="s">
        <v>62</v>
      </c>
      <c r="B239" s="2">
        <v>89408</v>
      </c>
      <c r="C239" s="2">
        <v>2</v>
      </c>
      <c r="D239">
        <f>VLOOKUP($C239, private_rates!$A$2:$C$9, 2, FALSE)</f>
        <v>0.28000000000000003</v>
      </c>
      <c r="E239">
        <f>VLOOKUP($C239, private_rates!$A$2:$C$9, 3, FALSE)</f>
        <v>4</v>
      </c>
      <c r="F239">
        <f>VLOOKUP($C239, published_rates!$A$2:$C$9, 2, FALSE)</f>
        <v>0.33</v>
      </c>
      <c r="G239">
        <f>VLOOKUP($C239, published_rates!$A$2:$C$9, 3, FALSE)</f>
        <v>4.2</v>
      </c>
      <c r="H239">
        <f>VLOOKUP($B239, demand!$A$2:$C$44, 2, FALSE)</f>
        <v>664.08</v>
      </c>
      <c r="I239">
        <f>VLOOKUP($B239, demand!$A$2:$C$44, 3, FALSE)</f>
        <v>22</v>
      </c>
      <c r="J239" t="str">
        <f>VLOOKUP($B239, distributors!$A$2:$C$44, 2, FALSE)</f>
        <v>Fernley</v>
      </c>
      <c r="K239" t="str">
        <f>VLOOKUP($B239, distributors!$A$2:$C$44, 3, FALSE)</f>
        <v>NV</v>
      </c>
    </row>
    <row r="240" spans="1:11" x14ac:dyDescent="0.2">
      <c r="A240" s="2" t="s">
        <v>62</v>
      </c>
      <c r="B240" s="2">
        <v>89509</v>
      </c>
      <c r="C240" s="2">
        <v>2</v>
      </c>
      <c r="D240">
        <f>VLOOKUP($C240, private_rates!$A$2:$C$9, 2, FALSE)</f>
        <v>0.28000000000000003</v>
      </c>
      <c r="E240">
        <f>VLOOKUP($C240, private_rates!$A$2:$C$9, 3, FALSE)</f>
        <v>4</v>
      </c>
      <c r="F240">
        <f>VLOOKUP($C240, published_rates!$A$2:$C$9, 2, FALSE)</f>
        <v>0.33</v>
      </c>
      <c r="G240">
        <f>VLOOKUP($C240, published_rates!$A$2:$C$9, 3, FALSE)</f>
        <v>4.2</v>
      </c>
      <c r="H240">
        <f>VLOOKUP($B240, demand!$A$2:$C$44, 2, FALSE)</f>
        <v>707.57</v>
      </c>
      <c r="I240">
        <f>VLOOKUP($B240, demand!$A$2:$C$44, 3, FALSE)</f>
        <v>24</v>
      </c>
      <c r="J240" t="str">
        <f>VLOOKUP($B240, distributors!$A$2:$C$44, 2, FALSE)</f>
        <v>Reno</v>
      </c>
      <c r="K240" t="str">
        <f>VLOOKUP($B240, distributors!$A$2:$C$44, 3, FALSE)</f>
        <v>NV</v>
      </c>
    </row>
    <row r="241" spans="1:11" x14ac:dyDescent="0.2">
      <c r="A241" s="2" t="s">
        <v>62</v>
      </c>
      <c r="B241" s="2">
        <v>89822</v>
      </c>
      <c r="C241" s="2">
        <v>4</v>
      </c>
      <c r="D241">
        <f>VLOOKUP($C241, private_rates!$A$2:$C$9, 2, FALSE)</f>
        <v>0.35</v>
      </c>
      <c r="E241">
        <f>VLOOKUP($C241, private_rates!$A$2:$C$9, 3, FALSE)</f>
        <v>4.6500000000000004</v>
      </c>
      <c r="F241">
        <f>VLOOKUP($C241, published_rates!$A$2:$C$9, 2, FALSE)</f>
        <v>0.41</v>
      </c>
      <c r="G241">
        <f>VLOOKUP($C241, published_rates!$A$2:$C$9, 3, FALSE)</f>
        <v>5</v>
      </c>
      <c r="H241">
        <f>VLOOKUP($B241, demand!$A$2:$C$44, 2, FALSE)</f>
        <v>449.57000000000005</v>
      </c>
      <c r="I241">
        <f>VLOOKUP($B241, demand!$A$2:$C$44, 3, FALSE)</f>
        <v>15</v>
      </c>
      <c r="J241" t="str">
        <f>VLOOKUP($B241, distributors!$A$2:$C$44, 2, FALSE)</f>
        <v>Carlin</v>
      </c>
      <c r="K241" t="str">
        <f>VLOOKUP($B241, distributors!$A$2:$C$44, 3, FALSE)</f>
        <v>NV</v>
      </c>
    </row>
    <row r="242" spans="1:11" x14ac:dyDescent="0.2">
      <c r="A242" s="2" t="s">
        <v>62</v>
      </c>
      <c r="B242" s="2">
        <v>90061</v>
      </c>
      <c r="C242" s="2">
        <v>4</v>
      </c>
      <c r="D242">
        <f>VLOOKUP($C242, private_rates!$A$2:$C$9, 2, FALSE)</f>
        <v>0.35</v>
      </c>
      <c r="E242">
        <f>VLOOKUP($C242, private_rates!$A$2:$C$9, 3, FALSE)</f>
        <v>4.6500000000000004</v>
      </c>
      <c r="F242">
        <f>VLOOKUP($C242, published_rates!$A$2:$C$9, 2, FALSE)</f>
        <v>0.41</v>
      </c>
      <c r="G242">
        <f>VLOOKUP($C242, published_rates!$A$2:$C$9, 3, FALSE)</f>
        <v>5</v>
      </c>
      <c r="H242">
        <f>VLOOKUP($B242, demand!$A$2:$C$44, 2, FALSE)</f>
        <v>1106.2900000000002</v>
      </c>
      <c r="I242">
        <f>VLOOKUP($B242, demand!$A$2:$C$44, 3, FALSE)</f>
        <v>38</v>
      </c>
      <c r="J242" t="str">
        <f>VLOOKUP($B242, distributors!$A$2:$C$44, 2, FALSE)</f>
        <v>Los Angeles</v>
      </c>
      <c r="K242" t="str">
        <f>VLOOKUP($B242, distributors!$A$2:$C$44, 3, FALSE)</f>
        <v>CA</v>
      </c>
    </row>
    <row r="243" spans="1:11" x14ac:dyDescent="0.2">
      <c r="A243" s="2" t="s">
        <v>62</v>
      </c>
      <c r="B243" s="2">
        <v>93030</v>
      </c>
      <c r="C243" s="2">
        <v>4</v>
      </c>
      <c r="D243">
        <f>VLOOKUP($C243, private_rates!$A$2:$C$9, 2, FALSE)</f>
        <v>0.35</v>
      </c>
      <c r="E243">
        <f>VLOOKUP($C243, private_rates!$A$2:$C$9, 3, FALSE)</f>
        <v>4.6500000000000004</v>
      </c>
      <c r="F243">
        <f>VLOOKUP($C243, published_rates!$A$2:$C$9, 2, FALSE)</f>
        <v>0.41</v>
      </c>
      <c r="G243">
        <f>VLOOKUP($C243, published_rates!$A$2:$C$9, 3, FALSE)</f>
        <v>5</v>
      </c>
      <c r="H243">
        <f>VLOOKUP($B243, demand!$A$2:$C$44, 2, FALSE)</f>
        <v>716.37</v>
      </c>
      <c r="I243">
        <f>VLOOKUP($B243, demand!$A$2:$C$44, 3, FALSE)</f>
        <v>25</v>
      </c>
      <c r="J243" t="str">
        <f>VLOOKUP($B243, distributors!$A$2:$C$44, 2, FALSE)</f>
        <v>Oxnard</v>
      </c>
      <c r="K243" t="str">
        <f>VLOOKUP($B243, distributors!$A$2:$C$44, 3, FALSE)</f>
        <v>CA</v>
      </c>
    </row>
    <row r="244" spans="1:11" x14ac:dyDescent="0.2">
      <c r="A244" s="2" t="s">
        <v>62</v>
      </c>
      <c r="B244" s="2">
        <v>93427</v>
      </c>
      <c r="C244" s="2">
        <v>5</v>
      </c>
      <c r="D244">
        <f>VLOOKUP($C244, private_rates!$A$2:$C$9, 2, FALSE)</f>
        <v>0.4</v>
      </c>
      <c r="E244">
        <f>VLOOKUP($C244, private_rates!$A$2:$C$9, 3, FALSE)</f>
        <v>5</v>
      </c>
      <c r="F244">
        <f>VLOOKUP($C244, published_rates!$A$2:$C$9, 2, FALSE)</f>
        <v>0.46</v>
      </c>
      <c r="G244">
        <f>VLOOKUP($C244, published_rates!$A$2:$C$9, 3, FALSE)</f>
        <v>5.4</v>
      </c>
      <c r="H244">
        <f>VLOOKUP($B244, demand!$A$2:$C$44, 2, FALSE)</f>
        <v>571.88000000000011</v>
      </c>
      <c r="I244">
        <f>VLOOKUP($B244, demand!$A$2:$C$44, 3, FALSE)</f>
        <v>18</v>
      </c>
      <c r="J244" t="str">
        <f>VLOOKUP($B244, distributors!$A$2:$C$44, 2, FALSE)</f>
        <v>Buellton</v>
      </c>
      <c r="K244" t="str">
        <f>VLOOKUP($B244, distributors!$A$2:$C$44, 3, FALSE)</f>
        <v>CA</v>
      </c>
    </row>
    <row r="245" spans="1:11" x14ac:dyDescent="0.2">
      <c r="A245" s="2" t="s">
        <v>62</v>
      </c>
      <c r="B245" s="2">
        <v>93703</v>
      </c>
      <c r="C245" s="2">
        <v>2</v>
      </c>
      <c r="D245">
        <f>VLOOKUP($C245, private_rates!$A$2:$C$9, 2, FALSE)</f>
        <v>0.28000000000000003</v>
      </c>
      <c r="E245">
        <f>VLOOKUP($C245, private_rates!$A$2:$C$9, 3, FALSE)</f>
        <v>4</v>
      </c>
      <c r="F245">
        <f>VLOOKUP($C245, published_rates!$A$2:$C$9, 2, FALSE)</f>
        <v>0.33</v>
      </c>
      <c r="G245">
        <f>VLOOKUP($C245, published_rates!$A$2:$C$9, 3, FALSE)</f>
        <v>4.2</v>
      </c>
      <c r="H245">
        <f>VLOOKUP($B245, demand!$A$2:$C$44, 2, FALSE)</f>
        <v>1164.45</v>
      </c>
      <c r="I245">
        <f>VLOOKUP($B245, demand!$A$2:$C$44, 3, FALSE)</f>
        <v>39</v>
      </c>
      <c r="J245" t="str">
        <f>VLOOKUP($B245, distributors!$A$2:$C$44, 2, FALSE)</f>
        <v>Fresno</v>
      </c>
      <c r="K245" t="str">
        <f>VLOOKUP($B245, distributors!$A$2:$C$44, 3, FALSE)</f>
        <v>CA</v>
      </c>
    </row>
    <row r="246" spans="1:11" x14ac:dyDescent="0.2">
      <c r="A246" s="2" t="s">
        <v>62</v>
      </c>
      <c r="B246" s="2">
        <v>93906</v>
      </c>
      <c r="C246" s="2">
        <v>2</v>
      </c>
      <c r="D246">
        <f>VLOOKUP($C246, private_rates!$A$2:$C$9, 2, FALSE)</f>
        <v>0.28000000000000003</v>
      </c>
      <c r="E246">
        <f>VLOOKUP($C246, private_rates!$A$2:$C$9, 3, FALSE)</f>
        <v>4</v>
      </c>
      <c r="F246">
        <f>VLOOKUP($C246, published_rates!$A$2:$C$9, 2, FALSE)</f>
        <v>0.33</v>
      </c>
      <c r="G246">
        <f>VLOOKUP($C246, published_rates!$A$2:$C$9, 3, FALSE)</f>
        <v>4.2</v>
      </c>
      <c r="H246">
        <f>VLOOKUP($B246, demand!$A$2:$C$44, 2, FALSE)</f>
        <v>894.16999999999985</v>
      </c>
      <c r="I246">
        <f>VLOOKUP($B246, demand!$A$2:$C$44, 3, FALSE)</f>
        <v>30</v>
      </c>
      <c r="J246" t="str">
        <f>VLOOKUP($B246, distributors!$A$2:$C$44, 2, FALSE)</f>
        <v>Salinas</v>
      </c>
      <c r="K246" t="str">
        <f>VLOOKUP($B246, distributors!$A$2:$C$44, 3, FALSE)</f>
        <v>CA</v>
      </c>
    </row>
    <row r="247" spans="1:11" x14ac:dyDescent="0.2">
      <c r="A247" s="2" t="s">
        <v>62</v>
      </c>
      <c r="B247" s="2">
        <v>94403</v>
      </c>
      <c r="C247" s="2">
        <v>2</v>
      </c>
      <c r="D247">
        <f>VLOOKUP($C247, private_rates!$A$2:$C$9, 2, FALSE)</f>
        <v>0.28000000000000003</v>
      </c>
      <c r="E247">
        <f>VLOOKUP($C247, private_rates!$A$2:$C$9, 3, FALSE)</f>
        <v>4</v>
      </c>
      <c r="F247">
        <f>VLOOKUP($C247, published_rates!$A$2:$C$9, 2, FALSE)</f>
        <v>0.33</v>
      </c>
      <c r="G247">
        <f>VLOOKUP($C247, published_rates!$A$2:$C$9, 3, FALSE)</f>
        <v>4.2</v>
      </c>
      <c r="H247">
        <f>VLOOKUP($B247, demand!$A$2:$C$44, 2, FALSE)</f>
        <v>724.06999999999994</v>
      </c>
      <c r="I247">
        <f>VLOOKUP($B247, demand!$A$2:$C$44, 3, FALSE)</f>
        <v>24</v>
      </c>
      <c r="J247" t="str">
        <f>VLOOKUP($B247, distributors!$A$2:$C$44, 2, FALSE)</f>
        <v>San Mateo</v>
      </c>
      <c r="K247" t="str">
        <f>VLOOKUP($B247, distributors!$A$2:$C$44, 3, FALSE)</f>
        <v>CA</v>
      </c>
    </row>
    <row r="248" spans="1:11" x14ac:dyDescent="0.2">
      <c r="A248" s="2" t="s">
        <v>62</v>
      </c>
      <c r="B248" s="2">
        <v>95051</v>
      </c>
      <c r="C248" s="2">
        <v>2</v>
      </c>
      <c r="D248">
        <f>VLOOKUP($C248, private_rates!$A$2:$C$9, 2, FALSE)</f>
        <v>0.28000000000000003</v>
      </c>
      <c r="E248">
        <f>VLOOKUP($C248, private_rates!$A$2:$C$9, 3, FALSE)</f>
        <v>4</v>
      </c>
      <c r="F248">
        <f>VLOOKUP($C248, published_rates!$A$2:$C$9, 2, FALSE)</f>
        <v>0.33</v>
      </c>
      <c r="G248">
        <f>VLOOKUP($C248, published_rates!$A$2:$C$9, 3, FALSE)</f>
        <v>4.2</v>
      </c>
      <c r="H248">
        <f>VLOOKUP($B248, demand!$A$2:$C$44, 2, FALSE)</f>
        <v>806.2600000000001</v>
      </c>
      <c r="I248">
        <f>VLOOKUP($B248, demand!$A$2:$C$44, 3, FALSE)</f>
        <v>26</v>
      </c>
      <c r="J248" t="str">
        <f>VLOOKUP($B248, distributors!$A$2:$C$44, 2, FALSE)</f>
        <v>Santa Clara</v>
      </c>
      <c r="K248" t="str">
        <f>VLOOKUP($B248, distributors!$A$2:$C$44, 3, FALSE)</f>
        <v>CA</v>
      </c>
    </row>
    <row r="249" spans="1:11" x14ac:dyDescent="0.2">
      <c r="A249" s="2" t="s">
        <v>62</v>
      </c>
      <c r="B249" s="2">
        <v>95993</v>
      </c>
      <c r="C249" s="2">
        <v>2</v>
      </c>
      <c r="D249">
        <f>VLOOKUP($C249, private_rates!$A$2:$C$9, 2, FALSE)</f>
        <v>0.28000000000000003</v>
      </c>
      <c r="E249">
        <f>VLOOKUP($C249, private_rates!$A$2:$C$9, 3, FALSE)</f>
        <v>4</v>
      </c>
      <c r="F249">
        <f>VLOOKUP($C249, published_rates!$A$2:$C$9, 2, FALSE)</f>
        <v>0.33</v>
      </c>
      <c r="G249">
        <f>VLOOKUP($C249, published_rates!$A$2:$C$9, 3, FALSE)</f>
        <v>4.2</v>
      </c>
      <c r="H249">
        <f>VLOOKUP($B249, demand!$A$2:$C$44, 2, FALSE)</f>
        <v>783.16</v>
      </c>
      <c r="I249">
        <f>VLOOKUP($B249, demand!$A$2:$C$44, 3, FALSE)</f>
        <v>26</v>
      </c>
      <c r="J249" t="str">
        <f>VLOOKUP($B249, distributors!$A$2:$C$44, 2, FALSE)</f>
        <v>Yuba City</v>
      </c>
      <c r="K249" t="str">
        <f>VLOOKUP($B249, distributors!$A$2:$C$44, 3, FALSE)</f>
        <v>CA</v>
      </c>
    </row>
    <row r="250" spans="1:11" x14ac:dyDescent="0.2">
      <c r="A250" s="2" t="s">
        <v>62</v>
      </c>
      <c r="B250" s="2">
        <v>96130</v>
      </c>
      <c r="C250" s="2">
        <v>2</v>
      </c>
      <c r="D250">
        <f>VLOOKUP($C250, private_rates!$A$2:$C$9, 2, FALSE)</f>
        <v>0.28000000000000003</v>
      </c>
      <c r="E250">
        <f>VLOOKUP($C250, private_rates!$A$2:$C$9, 3, FALSE)</f>
        <v>4</v>
      </c>
      <c r="F250">
        <f>VLOOKUP($C250, published_rates!$A$2:$C$9, 2, FALSE)</f>
        <v>0.33</v>
      </c>
      <c r="G250">
        <f>VLOOKUP($C250, published_rates!$A$2:$C$9, 3, FALSE)</f>
        <v>4.2</v>
      </c>
      <c r="H250">
        <f>VLOOKUP($B250, demand!$A$2:$C$44, 2, FALSE)</f>
        <v>488.46000000000004</v>
      </c>
      <c r="I250">
        <f>VLOOKUP($B250, demand!$A$2:$C$44, 3, FALSE)</f>
        <v>16</v>
      </c>
      <c r="J250" t="str">
        <f>VLOOKUP($B250, distributors!$A$2:$C$44, 2, FALSE)</f>
        <v>Susanville</v>
      </c>
      <c r="K250" t="str">
        <f>VLOOKUP($B250, distributors!$A$2:$C$44, 3, FALSE)</f>
        <v>CA</v>
      </c>
    </row>
    <row r="251" spans="1:11" x14ac:dyDescent="0.2">
      <c r="A251" s="2" t="s">
        <v>62</v>
      </c>
      <c r="B251" s="2">
        <v>97002</v>
      </c>
      <c r="C251" s="2">
        <v>4</v>
      </c>
      <c r="D251">
        <f>VLOOKUP($C251, private_rates!$A$2:$C$9, 2, FALSE)</f>
        <v>0.35</v>
      </c>
      <c r="E251">
        <f>VLOOKUP($C251, private_rates!$A$2:$C$9, 3, FALSE)</f>
        <v>4.6500000000000004</v>
      </c>
      <c r="F251">
        <f>VLOOKUP($C251, published_rates!$A$2:$C$9, 2, FALSE)</f>
        <v>0.41</v>
      </c>
      <c r="G251">
        <f>VLOOKUP($C251, published_rates!$A$2:$C$9, 3, FALSE)</f>
        <v>5</v>
      </c>
      <c r="H251">
        <f>VLOOKUP($B251, demand!$A$2:$C$44, 2, FALSE)</f>
        <v>665.41999999999985</v>
      </c>
      <c r="I251">
        <f>VLOOKUP($B251, demand!$A$2:$C$44, 3, FALSE)</f>
        <v>22</v>
      </c>
      <c r="J251" t="str">
        <f>VLOOKUP($B251, distributors!$A$2:$C$44, 2, FALSE)</f>
        <v>Aurora</v>
      </c>
      <c r="K251" t="str">
        <f>VLOOKUP($B251, distributors!$A$2:$C$44, 3, FALSE)</f>
        <v>OR</v>
      </c>
    </row>
    <row r="252" spans="1:11" x14ac:dyDescent="0.2">
      <c r="A252" s="2" t="s">
        <v>62</v>
      </c>
      <c r="B252" s="2">
        <v>97524</v>
      </c>
      <c r="C252" s="2">
        <v>3</v>
      </c>
      <c r="D252">
        <f>VLOOKUP($C252, private_rates!$A$2:$C$9, 2, FALSE)</f>
        <v>0.32</v>
      </c>
      <c r="E252">
        <f>VLOOKUP($C252, private_rates!$A$2:$C$9, 3, FALSE)</f>
        <v>4.3</v>
      </c>
      <c r="F252">
        <f>VLOOKUP($C252, published_rates!$A$2:$C$9, 2, FALSE)</f>
        <v>0.37</v>
      </c>
      <c r="G252">
        <f>VLOOKUP($C252, published_rates!$A$2:$C$9, 3, FALSE)</f>
        <v>4.6500000000000004</v>
      </c>
      <c r="H252">
        <f>VLOOKUP($B252, demand!$A$2:$C$44, 2, FALSE)</f>
        <v>935.86999999999989</v>
      </c>
      <c r="I252">
        <f>VLOOKUP($B252, demand!$A$2:$C$44, 3, FALSE)</f>
        <v>30</v>
      </c>
      <c r="J252" t="str">
        <f>VLOOKUP($B252, distributors!$A$2:$C$44, 2, FALSE)</f>
        <v>Eagle Point</v>
      </c>
      <c r="K252" t="str">
        <f>VLOOKUP($B252, distributors!$A$2:$C$44, 3, FALSE)</f>
        <v>OR</v>
      </c>
    </row>
    <row r="253" spans="1:11" x14ac:dyDescent="0.2">
      <c r="A253" s="2" t="s">
        <v>62</v>
      </c>
      <c r="B253" s="2">
        <v>97862</v>
      </c>
      <c r="C253" s="2">
        <v>4</v>
      </c>
      <c r="D253">
        <f>VLOOKUP($C253, private_rates!$A$2:$C$9, 2, FALSE)</f>
        <v>0.35</v>
      </c>
      <c r="E253">
        <f>VLOOKUP($C253, private_rates!$A$2:$C$9, 3, FALSE)</f>
        <v>4.6500000000000004</v>
      </c>
      <c r="F253">
        <f>VLOOKUP($C253, published_rates!$A$2:$C$9, 2, FALSE)</f>
        <v>0.41</v>
      </c>
      <c r="G253">
        <f>VLOOKUP($C253, published_rates!$A$2:$C$9, 3, FALSE)</f>
        <v>5</v>
      </c>
      <c r="H253">
        <f>VLOOKUP($B253, demand!$A$2:$C$44, 2, FALSE)</f>
        <v>817.06</v>
      </c>
      <c r="I253">
        <f>VLOOKUP($B253, demand!$A$2:$C$44, 3, FALSE)</f>
        <v>26</v>
      </c>
      <c r="J253" t="str">
        <f>VLOOKUP($B253, distributors!$A$2:$C$44, 2, FALSE)</f>
        <v>Milton Freewater</v>
      </c>
      <c r="K253" t="str">
        <f>VLOOKUP($B253, distributors!$A$2:$C$44, 3, FALSE)</f>
        <v>OR</v>
      </c>
    </row>
    <row r="254" spans="1:11" x14ac:dyDescent="0.2">
      <c r="A254" s="2" t="s">
        <v>62</v>
      </c>
      <c r="B254" s="2">
        <v>97920</v>
      </c>
      <c r="C254" s="2">
        <v>4</v>
      </c>
      <c r="D254">
        <f>VLOOKUP($C254, private_rates!$A$2:$C$9, 2, FALSE)</f>
        <v>0.35</v>
      </c>
      <c r="E254">
        <f>VLOOKUP($C254, private_rates!$A$2:$C$9, 3, FALSE)</f>
        <v>4.6500000000000004</v>
      </c>
      <c r="F254">
        <f>VLOOKUP($C254, published_rates!$A$2:$C$9, 2, FALSE)</f>
        <v>0.41</v>
      </c>
      <c r="G254">
        <f>VLOOKUP($C254, published_rates!$A$2:$C$9, 3, FALSE)</f>
        <v>5</v>
      </c>
      <c r="H254">
        <f>VLOOKUP($B254, demand!$A$2:$C$44, 2, FALSE)</f>
        <v>546.56999999999994</v>
      </c>
      <c r="I254">
        <f>VLOOKUP($B254, demand!$A$2:$C$44, 3, FALSE)</f>
        <v>16</v>
      </c>
      <c r="J254" t="str">
        <f>VLOOKUP($B254, distributors!$A$2:$C$44, 2, FALSE)</f>
        <v>Westfall</v>
      </c>
      <c r="K254" t="str">
        <f>VLOOKUP($B254, distributors!$A$2:$C$44, 3, FALSE)</f>
        <v>OR</v>
      </c>
    </row>
    <row r="255" spans="1:11" x14ac:dyDescent="0.2">
      <c r="A255" s="2" t="s">
        <v>62</v>
      </c>
      <c r="B255" s="2">
        <v>98059</v>
      </c>
      <c r="C255" s="2">
        <v>5</v>
      </c>
      <c r="D255">
        <f>VLOOKUP($C255, private_rates!$A$2:$C$9, 2, FALSE)</f>
        <v>0.4</v>
      </c>
      <c r="E255">
        <f>VLOOKUP($C255, private_rates!$A$2:$C$9, 3, FALSE)</f>
        <v>5</v>
      </c>
      <c r="F255">
        <f>VLOOKUP($C255, published_rates!$A$2:$C$9, 2, FALSE)</f>
        <v>0.46</v>
      </c>
      <c r="G255">
        <f>VLOOKUP($C255, published_rates!$A$2:$C$9, 3, FALSE)</f>
        <v>5.4</v>
      </c>
      <c r="H255">
        <f>VLOOKUP($B255, demand!$A$2:$C$44, 2, FALSE)</f>
        <v>968.45</v>
      </c>
      <c r="I255">
        <f>VLOOKUP($B255, demand!$A$2:$C$44, 3, FALSE)</f>
        <v>30</v>
      </c>
      <c r="J255" t="str">
        <f>VLOOKUP($B255, distributors!$A$2:$C$44, 2, FALSE)</f>
        <v>Renton</v>
      </c>
      <c r="K255" t="str">
        <f>VLOOKUP($B255, distributors!$A$2:$C$44, 3, FALSE)</f>
        <v>WA</v>
      </c>
    </row>
    <row r="256" spans="1:11" x14ac:dyDescent="0.2">
      <c r="A256" s="2" t="s">
        <v>62</v>
      </c>
      <c r="B256" s="2">
        <v>98248</v>
      </c>
      <c r="C256" s="2">
        <v>5</v>
      </c>
      <c r="D256">
        <f>VLOOKUP($C256, private_rates!$A$2:$C$9, 2, FALSE)</f>
        <v>0.4</v>
      </c>
      <c r="E256">
        <f>VLOOKUP($C256, private_rates!$A$2:$C$9, 3, FALSE)</f>
        <v>5</v>
      </c>
      <c r="F256">
        <f>VLOOKUP($C256, published_rates!$A$2:$C$9, 2, FALSE)</f>
        <v>0.46</v>
      </c>
      <c r="G256">
        <f>VLOOKUP($C256, published_rates!$A$2:$C$9, 3, FALSE)</f>
        <v>5.4</v>
      </c>
      <c r="H256">
        <f>VLOOKUP($B256, demand!$A$2:$C$44, 2, FALSE)</f>
        <v>752.47</v>
      </c>
      <c r="I256">
        <f>VLOOKUP($B256, demand!$A$2:$C$44, 3, FALSE)</f>
        <v>23</v>
      </c>
      <c r="J256" t="str">
        <f>VLOOKUP($B256, distributors!$A$2:$C$44, 2, FALSE)</f>
        <v>Ferndale</v>
      </c>
      <c r="K256" t="str">
        <f>VLOOKUP($B256, distributors!$A$2:$C$44, 3, FALSE)</f>
        <v>WA</v>
      </c>
    </row>
    <row r="257" spans="1:11" x14ac:dyDescent="0.2">
      <c r="A257" s="2" t="s">
        <v>62</v>
      </c>
      <c r="B257" s="2">
        <v>98812</v>
      </c>
      <c r="C257" s="2">
        <v>4</v>
      </c>
      <c r="D257">
        <f>VLOOKUP($C257, private_rates!$A$2:$C$9, 2, FALSE)</f>
        <v>0.35</v>
      </c>
      <c r="E257">
        <f>VLOOKUP($C257, private_rates!$A$2:$C$9, 3, FALSE)</f>
        <v>4.6500000000000004</v>
      </c>
      <c r="F257">
        <f>VLOOKUP($C257, published_rates!$A$2:$C$9, 2, FALSE)</f>
        <v>0.41</v>
      </c>
      <c r="G257">
        <f>VLOOKUP($C257, published_rates!$A$2:$C$9, 3, FALSE)</f>
        <v>5</v>
      </c>
      <c r="H257">
        <f>VLOOKUP($B257, demand!$A$2:$C$44, 2, FALSE)</f>
        <v>679.12999999999977</v>
      </c>
      <c r="I257">
        <f>VLOOKUP($B257, demand!$A$2:$C$44, 3, FALSE)</f>
        <v>22</v>
      </c>
      <c r="J257" t="str">
        <f>VLOOKUP($B257, distributors!$A$2:$C$44, 2, FALSE)</f>
        <v>Brewster</v>
      </c>
      <c r="K257" t="str">
        <f>VLOOKUP($B257, distributors!$A$2:$C$44, 3, FALSE)</f>
        <v>WA</v>
      </c>
    </row>
    <row r="258" spans="1:11" x14ac:dyDescent="0.2">
      <c r="A258" s="2" t="s">
        <v>62</v>
      </c>
      <c r="B258" s="2">
        <v>99223</v>
      </c>
      <c r="C258" s="2">
        <v>5</v>
      </c>
      <c r="D258">
        <f>VLOOKUP($C258, private_rates!$A$2:$C$9, 2, FALSE)</f>
        <v>0.4</v>
      </c>
      <c r="E258">
        <f>VLOOKUP($C258, private_rates!$A$2:$C$9, 3, FALSE)</f>
        <v>5</v>
      </c>
      <c r="F258">
        <f>VLOOKUP($C258, published_rates!$A$2:$C$9, 2, FALSE)</f>
        <v>0.46</v>
      </c>
      <c r="G258">
        <f>VLOOKUP($C258, published_rates!$A$2:$C$9, 3, FALSE)</f>
        <v>5.4</v>
      </c>
      <c r="H258">
        <f>VLOOKUP($B258, demand!$A$2:$C$44, 2, FALSE)</f>
        <v>669.4</v>
      </c>
      <c r="I258">
        <f>VLOOKUP($B258, demand!$A$2:$C$44, 3, FALSE)</f>
        <v>21</v>
      </c>
      <c r="J258" t="str">
        <f>VLOOKUP($B258, distributors!$A$2:$C$44, 2, FALSE)</f>
        <v>Spokane</v>
      </c>
      <c r="K258" t="str">
        <f>VLOOKUP($B258, distributors!$A$2:$C$44, 3, FALSE)</f>
        <v>WA</v>
      </c>
    </row>
    <row r="259" spans="1:11" x14ac:dyDescent="0.2">
      <c r="A259" s="2" t="s">
        <v>62</v>
      </c>
      <c r="B259" s="2">
        <v>99350</v>
      </c>
      <c r="C259" s="2">
        <v>4</v>
      </c>
      <c r="D259">
        <f>VLOOKUP($C259, private_rates!$A$2:$C$9, 2, FALSE)</f>
        <v>0.35</v>
      </c>
      <c r="E259">
        <f>VLOOKUP($C259, private_rates!$A$2:$C$9, 3, FALSE)</f>
        <v>4.6500000000000004</v>
      </c>
      <c r="F259">
        <f>VLOOKUP($C259, published_rates!$A$2:$C$9, 2, FALSE)</f>
        <v>0.41</v>
      </c>
      <c r="G259">
        <f>VLOOKUP($C259, published_rates!$A$2:$C$9, 3, FALSE)</f>
        <v>5</v>
      </c>
      <c r="H259">
        <f>VLOOKUP($B259, demand!$A$2:$C$44, 2, FALSE)</f>
        <v>711.80000000000018</v>
      </c>
      <c r="I259">
        <f>VLOOKUP($B259, demand!$A$2:$C$44, 3, FALSE)</f>
        <v>22</v>
      </c>
      <c r="J259" t="str">
        <f>VLOOKUP($B259, distributors!$A$2:$C$44, 2, FALSE)</f>
        <v>Prosser</v>
      </c>
      <c r="K259" t="str">
        <f>VLOOKUP($B259, distributors!$A$2:$C$44, 3, FALSE)</f>
        <v>WA</v>
      </c>
    </row>
    <row r="260" spans="1:11" x14ac:dyDescent="0.2">
      <c r="A260" s="2" t="s">
        <v>63</v>
      </c>
      <c r="B260" s="2">
        <v>59019</v>
      </c>
      <c r="C260" s="2">
        <v>4</v>
      </c>
      <c r="D260">
        <f>VLOOKUP($C260, private_rates!$A$2:$C$9, 2, FALSE)</f>
        <v>0.35</v>
      </c>
      <c r="E260">
        <f>VLOOKUP($C260, private_rates!$A$2:$C$9, 3, FALSE)</f>
        <v>4.6500000000000004</v>
      </c>
      <c r="F260">
        <f>VLOOKUP($C260, published_rates!$A$2:$C$9, 2, FALSE)</f>
        <v>0.41</v>
      </c>
      <c r="G260">
        <f>VLOOKUP($C260, published_rates!$A$2:$C$9, 3, FALSE)</f>
        <v>5</v>
      </c>
      <c r="H260">
        <f>VLOOKUP($B260, demand!$A$2:$C$44, 2, FALSE)</f>
        <v>779.83999999999992</v>
      </c>
      <c r="I260">
        <f>VLOOKUP($B260, demand!$A$2:$C$44, 3, FALSE)</f>
        <v>30</v>
      </c>
      <c r="J260" t="str">
        <f>VLOOKUP($B260, distributors!$A$2:$C$44, 2, FALSE)</f>
        <v>Columbus</v>
      </c>
      <c r="K260" t="str">
        <f>VLOOKUP($B260, distributors!$A$2:$C$44, 3, FALSE)</f>
        <v>MT</v>
      </c>
    </row>
    <row r="261" spans="1:11" x14ac:dyDescent="0.2">
      <c r="A261" s="2" t="s">
        <v>63</v>
      </c>
      <c r="B261" s="2">
        <v>59634</v>
      </c>
      <c r="C261" s="2">
        <v>4</v>
      </c>
      <c r="D261">
        <f>VLOOKUP($C261, private_rates!$A$2:$C$9, 2, FALSE)</f>
        <v>0.35</v>
      </c>
      <c r="E261">
        <f>VLOOKUP($C261, private_rates!$A$2:$C$9, 3, FALSE)</f>
        <v>4.6500000000000004</v>
      </c>
      <c r="F261">
        <f>VLOOKUP($C261, published_rates!$A$2:$C$9, 2, FALSE)</f>
        <v>0.41</v>
      </c>
      <c r="G261">
        <f>VLOOKUP($C261, published_rates!$A$2:$C$9, 3, FALSE)</f>
        <v>5</v>
      </c>
      <c r="H261">
        <f>VLOOKUP($B261, demand!$A$2:$C$44, 2, FALSE)</f>
        <v>730.32999999999993</v>
      </c>
      <c r="I261">
        <f>VLOOKUP($B261, demand!$A$2:$C$44, 3, FALSE)</f>
        <v>29</v>
      </c>
      <c r="J261" t="str">
        <f>VLOOKUP($B261, distributors!$A$2:$C$44, 2, FALSE)</f>
        <v>Clancy</v>
      </c>
      <c r="K261" t="str">
        <f>VLOOKUP($B261, distributors!$A$2:$C$44, 3, FALSE)</f>
        <v>MT</v>
      </c>
    </row>
    <row r="262" spans="1:11" x14ac:dyDescent="0.2">
      <c r="A262" s="2" t="s">
        <v>63</v>
      </c>
      <c r="B262" s="2">
        <v>59808</v>
      </c>
      <c r="C262" s="2">
        <v>3</v>
      </c>
      <c r="D262">
        <f>VLOOKUP($C262, private_rates!$A$2:$C$9, 2, FALSE)</f>
        <v>0.32</v>
      </c>
      <c r="E262">
        <f>VLOOKUP($C262, private_rates!$A$2:$C$9, 3, FALSE)</f>
        <v>4.3</v>
      </c>
      <c r="F262">
        <f>VLOOKUP($C262, published_rates!$A$2:$C$9, 2, FALSE)</f>
        <v>0.37</v>
      </c>
      <c r="G262">
        <f>VLOOKUP($C262, published_rates!$A$2:$C$9, 3, FALSE)</f>
        <v>4.6500000000000004</v>
      </c>
      <c r="H262">
        <f>VLOOKUP($B262, demand!$A$2:$C$44, 2, FALSE)</f>
        <v>568.34</v>
      </c>
      <c r="I262">
        <f>VLOOKUP($B262, demand!$A$2:$C$44, 3, FALSE)</f>
        <v>23</v>
      </c>
      <c r="J262" t="str">
        <f>VLOOKUP($B262, distributors!$A$2:$C$44, 2, FALSE)</f>
        <v>Missoula</v>
      </c>
      <c r="K262" t="str">
        <f>VLOOKUP($B262, distributors!$A$2:$C$44, 3, FALSE)</f>
        <v>MT</v>
      </c>
    </row>
    <row r="263" spans="1:11" x14ac:dyDescent="0.2">
      <c r="A263" s="2" t="s">
        <v>63</v>
      </c>
      <c r="B263" s="2">
        <v>81321</v>
      </c>
      <c r="C263" s="2">
        <v>5</v>
      </c>
      <c r="D263">
        <f>VLOOKUP($C263, private_rates!$A$2:$C$9, 2, FALSE)</f>
        <v>0.4</v>
      </c>
      <c r="E263">
        <f>VLOOKUP($C263, private_rates!$A$2:$C$9, 3, FALSE)</f>
        <v>5</v>
      </c>
      <c r="F263">
        <f>VLOOKUP($C263, published_rates!$A$2:$C$9, 2, FALSE)</f>
        <v>0.46</v>
      </c>
      <c r="G263">
        <f>VLOOKUP($C263, published_rates!$A$2:$C$9, 3, FALSE)</f>
        <v>5.4</v>
      </c>
      <c r="H263">
        <f>VLOOKUP($B263, demand!$A$2:$C$44, 2, FALSE)</f>
        <v>759</v>
      </c>
      <c r="I263">
        <f>VLOOKUP($B263, demand!$A$2:$C$44, 3, FALSE)</f>
        <v>32</v>
      </c>
      <c r="J263" t="str">
        <f>VLOOKUP($B263, distributors!$A$2:$C$44, 2, FALSE)</f>
        <v>Cortez</v>
      </c>
      <c r="K263" t="str">
        <f>VLOOKUP($B263, distributors!$A$2:$C$44, 3, FALSE)</f>
        <v>CO</v>
      </c>
    </row>
    <row r="264" spans="1:11" x14ac:dyDescent="0.2">
      <c r="A264" s="2" t="s">
        <v>63</v>
      </c>
      <c r="B264" s="2">
        <v>81416</v>
      </c>
      <c r="C264" s="2">
        <v>5</v>
      </c>
      <c r="D264">
        <f>VLOOKUP($C264, private_rates!$A$2:$C$9, 2, FALSE)</f>
        <v>0.4</v>
      </c>
      <c r="E264">
        <f>VLOOKUP($C264, private_rates!$A$2:$C$9, 3, FALSE)</f>
        <v>5</v>
      </c>
      <c r="F264">
        <f>VLOOKUP($C264, published_rates!$A$2:$C$9, 2, FALSE)</f>
        <v>0.46</v>
      </c>
      <c r="G264">
        <f>VLOOKUP($C264, published_rates!$A$2:$C$9, 3, FALSE)</f>
        <v>5.4</v>
      </c>
      <c r="H264">
        <f>VLOOKUP($B264, demand!$A$2:$C$44, 2, FALSE)</f>
        <v>976.23</v>
      </c>
      <c r="I264">
        <f>VLOOKUP($B264, demand!$A$2:$C$44, 3, FALSE)</f>
        <v>37</v>
      </c>
      <c r="J264" t="str">
        <f>VLOOKUP($B264, distributors!$A$2:$C$44, 2, FALSE)</f>
        <v>Delta</v>
      </c>
      <c r="K264" t="str">
        <f>VLOOKUP($B264, distributors!$A$2:$C$44, 3, FALSE)</f>
        <v>CO</v>
      </c>
    </row>
    <row r="265" spans="1:11" x14ac:dyDescent="0.2">
      <c r="A265" s="2" t="s">
        <v>63</v>
      </c>
      <c r="B265" s="2">
        <v>81504</v>
      </c>
      <c r="C265" s="2">
        <v>5</v>
      </c>
      <c r="D265">
        <f>VLOOKUP($C265, private_rates!$A$2:$C$9, 2, FALSE)</f>
        <v>0.4</v>
      </c>
      <c r="E265">
        <f>VLOOKUP($C265, private_rates!$A$2:$C$9, 3, FALSE)</f>
        <v>5</v>
      </c>
      <c r="F265">
        <f>VLOOKUP($C265, published_rates!$A$2:$C$9, 2, FALSE)</f>
        <v>0.46</v>
      </c>
      <c r="G265">
        <f>VLOOKUP($C265, published_rates!$A$2:$C$9, 3, FALSE)</f>
        <v>5.4</v>
      </c>
      <c r="H265">
        <f>VLOOKUP($B265, demand!$A$2:$C$44, 2, FALSE)</f>
        <v>860.19000000000028</v>
      </c>
      <c r="I265">
        <f>VLOOKUP($B265, demand!$A$2:$C$44, 3, FALSE)</f>
        <v>32</v>
      </c>
      <c r="J265" t="str">
        <f>VLOOKUP($B265, distributors!$A$2:$C$44, 2, FALSE)</f>
        <v>Grand Junction</v>
      </c>
      <c r="K265" t="str">
        <f>VLOOKUP($B265, distributors!$A$2:$C$44, 3, FALSE)</f>
        <v>CO</v>
      </c>
    </row>
    <row r="266" spans="1:11" x14ac:dyDescent="0.2">
      <c r="A266" s="2" t="s">
        <v>63</v>
      </c>
      <c r="B266" s="2">
        <v>81650</v>
      </c>
      <c r="C266" s="2">
        <v>5</v>
      </c>
      <c r="D266">
        <f>VLOOKUP($C266, private_rates!$A$2:$C$9, 2, FALSE)</f>
        <v>0.4</v>
      </c>
      <c r="E266">
        <f>VLOOKUP($C266, private_rates!$A$2:$C$9, 3, FALSE)</f>
        <v>5</v>
      </c>
      <c r="F266">
        <f>VLOOKUP($C266, published_rates!$A$2:$C$9, 2, FALSE)</f>
        <v>0.46</v>
      </c>
      <c r="G266">
        <f>VLOOKUP($C266, published_rates!$A$2:$C$9, 3, FALSE)</f>
        <v>5.4</v>
      </c>
      <c r="H266">
        <f>VLOOKUP($B266, demand!$A$2:$C$44, 2, FALSE)</f>
        <v>585.81000000000006</v>
      </c>
      <c r="I266">
        <f>VLOOKUP($B266, demand!$A$2:$C$44, 3, FALSE)</f>
        <v>22</v>
      </c>
      <c r="J266" t="str">
        <f>VLOOKUP($B266, distributors!$A$2:$C$44, 2, FALSE)</f>
        <v>Rifle</v>
      </c>
      <c r="K266" t="str">
        <f>VLOOKUP($B266, distributors!$A$2:$C$44, 3, FALSE)</f>
        <v>CO</v>
      </c>
    </row>
    <row r="267" spans="1:11" x14ac:dyDescent="0.2">
      <c r="A267" s="2" t="s">
        <v>63</v>
      </c>
      <c r="B267" s="2">
        <v>83014</v>
      </c>
      <c r="C267" s="2">
        <v>4</v>
      </c>
      <c r="D267">
        <f>VLOOKUP($C267, private_rates!$A$2:$C$9, 2, FALSE)</f>
        <v>0.35</v>
      </c>
      <c r="E267">
        <f>VLOOKUP($C267, private_rates!$A$2:$C$9, 3, FALSE)</f>
        <v>4.6500000000000004</v>
      </c>
      <c r="F267">
        <f>VLOOKUP($C267, published_rates!$A$2:$C$9, 2, FALSE)</f>
        <v>0.41</v>
      </c>
      <c r="G267">
        <f>VLOOKUP($C267, published_rates!$A$2:$C$9, 3, FALSE)</f>
        <v>5</v>
      </c>
      <c r="H267">
        <f>VLOOKUP($B267, demand!$A$2:$C$44, 2, FALSE)</f>
        <v>412.08000000000004</v>
      </c>
      <c r="I267">
        <f>VLOOKUP($B267, demand!$A$2:$C$44, 3, FALSE)</f>
        <v>15</v>
      </c>
      <c r="J267" t="str">
        <f>VLOOKUP($B267, distributors!$A$2:$C$44, 2, FALSE)</f>
        <v>Wilson</v>
      </c>
      <c r="K267" t="str">
        <f>VLOOKUP($B267, distributors!$A$2:$C$44, 3, FALSE)</f>
        <v>WY</v>
      </c>
    </row>
    <row r="268" spans="1:11" x14ac:dyDescent="0.2">
      <c r="A268" s="2" t="s">
        <v>63</v>
      </c>
      <c r="B268" s="2">
        <v>83338</v>
      </c>
      <c r="C268" s="2">
        <v>4</v>
      </c>
      <c r="D268">
        <f>VLOOKUP($C268, private_rates!$A$2:$C$9, 2, FALSE)</f>
        <v>0.35</v>
      </c>
      <c r="E268">
        <f>VLOOKUP($C268, private_rates!$A$2:$C$9, 3, FALSE)</f>
        <v>4.6500000000000004</v>
      </c>
      <c r="F268">
        <f>VLOOKUP($C268, published_rates!$A$2:$C$9, 2, FALSE)</f>
        <v>0.41</v>
      </c>
      <c r="G268">
        <f>VLOOKUP($C268, published_rates!$A$2:$C$9, 3, FALSE)</f>
        <v>5</v>
      </c>
      <c r="H268">
        <f>VLOOKUP($B268, demand!$A$2:$C$44, 2, FALSE)</f>
        <v>546.12999999999988</v>
      </c>
      <c r="I268">
        <f>VLOOKUP($B268, demand!$A$2:$C$44, 3, FALSE)</f>
        <v>21</v>
      </c>
      <c r="J268" t="str">
        <f>VLOOKUP($B268, distributors!$A$2:$C$44, 2, FALSE)</f>
        <v>Jerome</v>
      </c>
      <c r="K268" t="str">
        <f>VLOOKUP($B268, distributors!$A$2:$C$44, 3, FALSE)</f>
        <v>ID</v>
      </c>
    </row>
    <row r="269" spans="1:11" x14ac:dyDescent="0.2">
      <c r="A269" s="2" t="s">
        <v>63</v>
      </c>
      <c r="B269" s="2">
        <v>83544</v>
      </c>
      <c r="C269" s="2">
        <v>2</v>
      </c>
      <c r="D269">
        <f>VLOOKUP($C269, private_rates!$A$2:$C$9, 2, FALSE)</f>
        <v>0.28000000000000003</v>
      </c>
      <c r="E269">
        <f>VLOOKUP($C269, private_rates!$A$2:$C$9, 3, FALSE)</f>
        <v>4</v>
      </c>
      <c r="F269">
        <f>VLOOKUP($C269, published_rates!$A$2:$C$9, 2, FALSE)</f>
        <v>0.33</v>
      </c>
      <c r="G269">
        <f>VLOOKUP($C269, published_rates!$A$2:$C$9, 3, FALSE)</f>
        <v>4.2</v>
      </c>
      <c r="H269">
        <f>VLOOKUP($B269, demand!$A$2:$C$44, 2, FALSE)</f>
        <v>599.47</v>
      </c>
      <c r="I269">
        <f>VLOOKUP($B269, demand!$A$2:$C$44, 3, FALSE)</f>
        <v>22</v>
      </c>
      <c r="J269" t="str">
        <f>VLOOKUP($B269, distributors!$A$2:$C$44, 2, FALSE)</f>
        <v>Orofino</v>
      </c>
      <c r="K269" t="str">
        <f>VLOOKUP($B269, distributors!$A$2:$C$44, 3, FALSE)</f>
        <v>ID</v>
      </c>
    </row>
    <row r="270" spans="1:11" x14ac:dyDescent="0.2">
      <c r="A270" s="2" t="s">
        <v>63</v>
      </c>
      <c r="B270" s="2">
        <v>83638</v>
      </c>
      <c r="C270" s="2">
        <v>3</v>
      </c>
      <c r="D270">
        <f>VLOOKUP($C270, private_rates!$A$2:$C$9, 2, FALSE)</f>
        <v>0.32</v>
      </c>
      <c r="E270">
        <f>VLOOKUP($C270, private_rates!$A$2:$C$9, 3, FALSE)</f>
        <v>4.3</v>
      </c>
      <c r="F270">
        <f>VLOOKUP($C270, published_rates!$A$2:$C$9, 2, FALSE)</f>
        <v>0.37</v>
      </c>
      <c r="G270">
        <f>VLOOKUP($C270, published_rates!$A$2:$C$9, 3, FALSE)</f>
        <v>4.6500000000000004</v>
      </c>
      <c r="H270">
        <f>VLOOKUP($B270, demand!$A$2:$C$44, 2, FALSE)</f>
        <v>853.4100000000002</v>
      </c>
      <c r="I270">
        <f>VLOOKUP($B270, demand!$A$2:$C$44, 3, FALSE)</f>
        <v>30</v>
      </c>
      <c r="J270" t="str">
        <f>VLOOKUP($B270, distributors!$A$2:$C$44, 2, FALSE)</f>
        <v>McCall</v>
      </c>
      <c r="K270" t="str">
        <f>VLOOKUP($B270, distributors!$A$2:$C$44, 3, FALSE)</f>
        <v>ID</v>
      </c>
    </row>
    <row r="271" spans="1:11" x14ac:dyDescent="0.2">
      <c r="A271" s="2" t="s">
        <v>63</v>
      </c>
      <c r="B271" s="2">
        <v>83706</v>
      </c>
      <c r="C271" s="2">
        <v>3</v>
      </c>
      <c r="D271">
        <f>VLOOKUP($C271, private_rates!$A$2:$C$9, 2, FALSE)</f>
        <v>0.32</v>
      </c>
      <c r="E271">
        <f>VLOOKUP($C271, private_rates!$A$2:$C$9, 3, FALSE)</f>
        <v>4.3</v>
      </c>
      <c r="F271">
        <f>VLOOKUP($C271, published_rates!$A$2:$C$9, 2, FALSE)</f>
        <v>0.37</v>
      </c>
      <c r="G271">
        <f>VLOOKUP($C271, published_rates!$A$2:$C$9, 3, FALSE)</f>
        <v>4.6500000000000004</v>
      </c>
      <c r="H271">
        <f>VLOOKUP($B271, demand!$A$2:$C$44, 2, FALSE)</f>
        <v>518.5200000000001</v>
      </c>
      <c r="I271">
        <f>VLOOKUP($B271, demand!$A$2:$C$44, 3, FALSE)</f>
        <v>18</v>
      </c>
      <c r="J271" t="str">
        <f>VLOOKUP($B271, distributors!$A$2:$C$44, 2, FALSE)</f>
        <v>Boise</v>
      </c>
      <c r="K271" t="str">
        <f>VLOOKUP($B271, distributors!$A$2:$C$44, 3, FALSE)</f>
        <v>ID</v>
      </c>
    </row>
    <row r="272" spans="1:11" x14ac:dyDescent="0.2">
      <c r="A272" s="2" t="s">
        <v>63</v>
      </c>
      <c r="B272" s="2">
        <v>84003</v>
      </c>
      <c r="C272" s="2">
        <v>4</v>
      </c>
      <c r="D272">
        <f>VLOOKUP($C272, private_rates!$A$2:$C$9, 2, FALSE)</f>
        <v>0.35</v>
      </c>
      <c r="E272">
        <f>VLOOKUP($C272, private_rates!$A$2:$C$9, 3, FALSE)</f>
        <v>4.6500000000000004</v>
      </c>
      <c r="F272">
        <f>VLOOKUP($C272, published_rates!$A$2:$C$9, 2, FALSE)</f>
        <v>0.41</v>
      </c>
      <c r="G272">
        <f>VLOOKUP($C272, published_rates!$A$2:$C$9, 3, FALSE)</f>
        <v>5</v>
      </c>
      <c r="H272">
        <f>VLOOKUP($B272, demand!$A$2:$C$44, 2, FALSE)</f>
        <v>706.61</v>
      </c>
      <c r="I272">
        <f>VLOOKUP($B272, demand!$A$2:$C$44, 3, FALSE)</f>
        <v>25</v>
      </c>
      <c r="J272" t="str">
        <f>VLOOKUP($B272, distributors!$A$2:$C$44, 2, FALSE)</f>
        <v>American Fork</v>
      </c>
      <c r="K272" t="str">
        <f>VLOOKUP($B272, distributors!$A$2:$C$44, 3, FALSE)</f>
        <v>UT</v>
      </c>
    </row>
    <row r="273" spans="1:11" x14ac:dyDescent="0.2">
      <c r="A273" s="2" t="s">
        <v>63</v>
      </c>
      <c r="B273" s="2">
        <v>84414</v>
      </c>
      <c r="C273" s="2">
        <v>4</v>
      </c>
      <c r="D273">
        <f>VLOOKUP($C273, private_rates!$A$2:$C$9, 2, FALSE)</f>
        <v>0.35</v>
      </c>
      <c r="E273">
        <f>VLOOKUP($C273, private_rates!$A$2:$C$9, 3, FALSE)</f>
        <v>4.6500000000000004</v>
      </c>
      <c r="F273">
        <f>VLOOKUP($C273, published_rates!$A$2:$C$9, 2, FALSE)</f>
        <v>0.41</v>
      </c>
      <c r="G273">
        <f>VLOOKUP($C273, published_rates!$A$2:$C$9, 3, FALSE)</f>
        <v>5</v>
      </c>
      <c r="H273">
        <f>VLOOKUP($B273, demand!$A$2:$C$44, 2, FALSE)</f>
        <v>613.67000000000007</v>
      </c>
      <c r="I273">
        <f>VLOOKUP($B273, demand!$A$2:$C$44, 3, FALSE)</f>
        <v>22</v>
      </c>
      <c r="J273" t="str">
        <f>VLOOKUP($B273, distributors!$A$2:$C$44, 2, FALSE)</f>
        <v>Ogden</v>
      </c>
      <c r="K273" t="str">
        <f>VLOOKUP($B273, distributors!$A$2:$C$44, 3, FALSE)</f>
        <v>UT</v>
      </c>
    </row>
    <row r="274" spans="1:11" x14ac:dyDescent="0.2">
      <c r="A274" s="2" t="s">
        <v>63</v>
      </c>
      <c r="B274" s="2">
        <v>84532</v>
      </c>
      <c r="C274" s="2">
        <v>4</v>
      </c>
      <c r="D274">
        <f>VLOOKUP($C274, private_rates!$A$2:$C$9, 2, FALSE)</f>
        <v>0.35</v>
      </c>
      <c r="E274">
        <f>VLOOKUP($C274, private_rates!$A$2:$C$9, 3, FALSE)</f>
        <v>4.6500000000000004</v>
      </c>
      <c r="F274">
        <f>VLOOKUP($C274, published_rates!$A$2:$C$9, 2, FALSE)</f>
        <v>0.41</v>
      </c>
      <c r="G274">
        <f>VLOOKUP($C274, published_rates!$A$2:$C$9, 3, FALSE)</f>
        <v>5</v>
      </c>
      <c r="H274">
        <f>VLOOKUP($B274, demand!$A$2:$C$44, 2, FALSE)</f>
        <v>339.5</v>
      </c>
      <c r="I274">
        <f>VLOOKUP($B274, demand!$A$2:$C$44, 3, FALSE)</f>
        <v>11</v>
      </c>
      <c r="J274" t="str">
        <f>VLOOKUP($B274, distributors!$A$2:$C$44, 2, FALSE)</f>
        <v>Moab</v>
      </c>
      <c r="K274" t="str">
        <f>VLOOKUP($B274, distributors!$A$2:$C$44, 3, FALSE)</f>
        <v>UT</v>
      </c>
    </row>
    <row r="275" spans="1:11" x14ac:dyDescent="0.2">
      <c r="A275" s="2" t="s">
        <v>63</v>
      </c>
      <c r="B275" s="2">
        <v>84780</v>
      </c>
      <c r="C275" s="2">
        <v>5</v>
      </c>
      <c r="D275">
        <f>VLOOKUP($C275, private_rates!$A$2:$C$9, 2, FALSE)</f>
        <v>0.4</v>
      </c>
      <c r="E275">
        <f>VLOOKUP($C275, private_rates!$A$2:$C$9, 3, FALSE)</f>
        <v>5</v>
      </c>
      <c r="F275">
        <f>VLOOKUP($C275, published_rates!$A$2:$C$9, 2, FALSE)</f>
        <v>0.46</v>
      </c>
      <c r="G275">
        <f>VLOOKUP($C275, published_rates!$A$2:$C$9, 3, FALSE)</f>
        <v>5.4</v>
      </c>
      <c r="H275">
        <f>VLOOKUP($B275, demand!$A$2:$C$44, 2, FALSE)</f>
        <v>648.88</v>
      </c>
      <c r="I275">
        <f>VLOOKUP($B275, demand!$A$2:$C$44, 3, FALSE)</f>
        <v>22</v>
      </c>
      <c r="J275" t="str">
        <f>VLOOKUP($B275, distributors!$A$2:$C$44, 2, FALSE)</f>
        <v>Washington</v>
      </c>
      <c r="K275" t="str">
        <f>VLOOKUP($B275, distributors!$A$2:$C$44, 3, FALSE)</f>
        <v>UT</v>
      </c>
    </row>
    <row r="276" spans="1:11" x14ac:dyDescent="0.2">
      <c r="A276" s="2" t="s">
        <v>63</v>
      </c>
      <c r="B276" s="2">
        <v>85012</v>
      </c>
      <c r="C276" s="2">
        <v>5</v>
      </c>
      <c r="D276">
        <f>VLOOKUP($C276, private_rates!$A$2:$C$9, 2, FALSE)</f>
        <v>0.4</v>
      </c>
      <c r="E276">
        <f>VLOOKUP($C276, private_rates!$A$2:$C$9, 3, FALSE)</f>
        <v>5</v>
      </c>
      <c r="F276">
        <f>VLOOKUP($C276, published_rates!$A$2:$C$9, 2, FALSE)</f>
        <v>0.46</v>
      </c>
      <c r="G276">
        <f>VLOOKUP($C276, published_rates!$A$2:$C$9, 3, FALSE)</f>
        <v>5.4</v>
      </c>
      <c r="H276">
        <f>VLOOKUP($B276, demand!$A$2:$C$44, 2, FALSE)</f>
        <v>685.8499999999998</v>
      </c>
      <c r="I276">
        <f>VLOOKUP($B276, demand!$A$2:$C$44, 3, FALSE)</f>
        <v>25</v>
      </c>
      <c r="J276" t="str">
        <f>VLOOKUP($B276, distributors!$A$2:$C$44, 2, FALSE)</f>
        <v>Phoeniz</v>
      </c>
      <c r="K276" t="str">
        <f>VLOOKUP($B276, distributors!$A$2:$C$44, 3, FALSE)</f>
        <v>AZ</v>
      </c>
    </row>
    <row r="277" spans="1:11" x14ac:dyDescent="0.2">
      <c r="A277" s="2" t="s">
        <v>63</v>
      </c>
      <c r="B277" s="2">
        <v>86004</v>
      </c>
      <c r="C277" s="2">
        <v>5</v>
      </c>
      <c r="D277">
        <f>VLOOKUP($C277, private_rates!$A$2:$C$9, 2, FALSE)</f>
        <v>0.4</v>
      </c>
      <c r="E277">
        <f>VLOOKUP($C277, private_rates!$A$2:$C$9, 3, FALSE)</f>
        <v>5</v>
      </c>
      <c r="F277">
        <f>VLOOKUP($C277, published_rates!$A$2:$C$9, 2, FALSE)</f>
        <v>0.46</v>
      </c>
      <c r="G277">
        <f>VLOOKUP($C277, published_rates!$A$2:$C$9, 3, FALSE)</f>
        <v>5.4</v>
      </c>
      <c r="H277">
        <f>VLOOKUP($B277, demand!$A$2:$C$44, 2, FALSE)</f>
        <v>654.43000000000006</v>
      </c>
      <c r="I277">
        <f>VLOOKUP($B277, demand!$A$2:$C$44, 3, FALSE)</f>
        <v>24</v>
      </c>
      <c r="J277" t="str">
        <f>VLOOKUP($B277, distributors!$A$2:$C$44, 2, FALSE)</f>
        <v>Flagstaff</v>
      </c>
      <c r="K277" t="str">
        <f>VLOOKUP($B277, distributors!$A$2:$C$44, 3, FALSE)</f>
        <v>AZ</v>
      </c>
    </row>
    <row r="278" spans="1:11" x14ac:dyDescent="0.2">
      <c r="A278" s="2" t="s">
        <v>63</v>
      </c>
      <c r="B278" s="2">
        <v>86042</v>
      </c>
      <c r="C278" s="2">
        <v>5</v>
      </c>
      <c r="D278">
        <f>VLOOKUP($C278, private_rates!$A$2:$C$9, 2, FALSE)</f>
        <v>0.4</v>
      </c>
      <c r="E278">
        <f>VLOOKUP($C278, private_rates!$A$2:$C$9, 3, FALSE)</f>
        <v>5</v>
      </c>
      <c r="F278">
        <f>VLOOKUP($C278, published_rates!$A$2:$C$9, 2, FALSE)</f>
        <v>0.46</v>
      </c>
      <c r="G278">
        <f>VLOOKUP($C278, published_rates!$A$2:$C$9, 3, FALSE)</f>
        <v>5.4</v>
      </c>
      <c r="H278">
        <f>VLOOKUP($B278, demand!$A$2:$C$44, 2, FALSE)</f>
        <v>522.40000000000009</v>
      </c>
      <c r="I278">
        <f>VLOOKUP($B278, demand!$A$2:$C$44, 3, FALSE)</f>
        <v>18</v>
      </c>
      <c r="J278" t="str">
        <f>VLOOKUP($B278, distributors!$A$2:$C$44, 2, FALSE)</f>
        <v>Polacca</v>
      </c>
      <c r="K278" t="str">
        <f>VLOOKUP($B278, distributors!$A$2:$C$44, 3, FALSE)</f>
        <v>AZ</v>
      </c>
    </row>
    <row r="279" spans="1:11" x14ac:dyDescent="0.2">
      <c r="A279" s="2" t="s">
        <v>63</v>
      </c>
      <c r="B279" s="2">
        <v>86314</v>
      </c>
      <c r="C279" s="2">
        <v>5</v>
      </c>
      <c r="D279">
        <f>VLOOKUP($C279, private_rates!$A$2:$C$9, 2, FALSE)</f>
        <v>0.4</v>
      </c>
      <c r="E279">
        <f>VLOOKUP($C279, private_rates!$A$2:$C$9, 3, FALSE)</f>
        <v>5</v>
      </c>
      <c r="F279">
        <f>VLOOKUP($C279, published_rates!$A$2:$C$9, 2, FALSE)</f>
        <v>0.46</v>
      </c>
      <c r="G279">
        <f>VLOOKUP($C279, published_rates!$A$2:$C$9, 3, FALSE)</f>
        <v>5.4</v>
      </c>
      <c r="H279">
        <f>VLOOKUP($B279, demand!$A$2:$C$44, 2, FALSE)</f>
        <v>788.67000000000019</v>
      </c>
      <c r="I279">
        <f>VLOOKUP($B279, demand!$A$2:$C$44, 3, FALSE)</f>
        <v>27</v>
      </c>
      <c r="J279" t="str">
        <f>VLOOKUP($B279, distributors!$A$2:$C$44, 2, FALSE)</f>
        <v>Prescott Valley</v>
      </c>
      <c r="K279" t="str">
        <f>VLOOKUP($B279, distributors!$A$2:$C$44, 3, FALSE)</f>
        <v>AZ</v>
      </c>
    </row>
    <row r="280" spans="1:11" x14ac:dyDescent="0.2">
      <c r="A280" s="2" t="s">
        <v>63</v>
      </c>
      <c r="B280" s="2">
        <v>86426</v>
      </c>
      <c r="C280" s="2">
        <v>5</v>
      </c>
      <c r="D280">
        <f>VLOOKUP($C280, private_rates!$A$2:$C$9, 2, FALSE)</f>
        <v>0.4</v>
      </c>
      <c r="E280">
        <f>VLOOKUP($C280, private_rates!$A$2:$C$9, 3, FALSE)</f>
        <v>5</v>
      </c>
      <c r="F280">
        <f>VLOOKUP($C280, published_rates!$A$2:$C$9, 2, FALSE)</f>
        <v>0.46</v>
      </c>
      <c r="G280">
        <f>VLOOKUP($C280, published_rates!$A$2:$C$9, 3, FALSE)</f>
        <v>5.4</v>
      </c>
      <c r="H280">
        <f>VLOOKUP($B280, demand!$A$2:$C$44, 2, FALSE)</f>
        <v>743.05000000000007</v>
      </c>
      <c r="I280">
        <f>VLOOKUP($B280, demand!$A$2:$C$44, 3, FALSE)</f>
        <v>26</v>
      </c>
      <c r="J280" t="str">
        <f>VLOOKUP($B280, distributors!$A$2:$C$44, 2, FALSE)</f>
        <v>Fort Mohave</v>
      </c>
      <c r="K280" t="str">
        <f>VLOOKUP($B280, distributors!$A$2:$C$44, 3, FALSE)</f>
        <v>AZ</v>
      </c>
    </row>
    <row r="281" spans="1:11" x14ac:dyDescent="0.2">
      <c r="A281" s="2" t="s">
        <v>63</v>
      </c>
      <c r="B281" s="2">
        <v>89104</v>
      </c>
      <c r="C281" s="2">
        <v>5</v>
      </c>
      <c r="D281">
        <f>VLOOKUP($C281, private_rates!$A$2:$C$9, 2, FALSE)</f>
        <v>0.4</v>
      </c>
      <c r="E281">
        <f>VLOOKUP($C281, private_rates!$A$2:$C$9, 3, FALSE)</f>
        <v>5</v>
      </c>
      <c r="F281">
        <f>VLOOKUP($C281, published_rates!$A$2:$C$9, 2, FALSE)</f>
        <v>0.46</v>
      </c>
      <c r="G281">
        <f>VLOOKUP($C281, published_rates!$A$2:$C$9, 3, FALSE)</f>
        <v>5.4</v>
      </c>
      <c r="H281">
        <f>VLOOKUP($B281, demand!$A$2:$C$44, 2, FALSE)</f>
        <v>1033.9699999999998</v>
      </c>
      <c r="I281">
        <f>VLOOKUP($B281, demand!$A$2:$C$44, 3, FALSE)</f>
        <v>34</v>
      </c>
      <c r="J281" t="str">
        <f>VLOOKUP($B281, distributors!$A$2:$C$44, 2, FALSE)</f>
        <v>Las Vegas</v>
      </c>
      <c r="K281" t="str">
        <f>VLOOKUP($B281, distributors!$A$2:$C$44, 3, FALSE)</f>
        <v>NV</v>
      </c>
    </row>
    <row r="282" spans="1:11" x14ac:dyDescent="0.2">
      <c r="A282" s="2" t="s">
        <v>63</v>
      </c>
      <c r="B282" s="2">
        <v>89408</v>
      </c>
      <c r="C282" s="2">
        <v>4</v>
      </c>
      <c r="D282">
        <f>VLOOKUP($C282, private_rates!$A$2:$C$9, 2, FALSE)</f>
        <v>0.35</v>
      </c>
      <c r="E282">
        <f>VLOOKUP($C282, private_rates!$A$2:$C$9, 3, FALSE)</f>
        <v>4.6500000000000004</v>
      </c>
      <c r="F282">
        <f>VLOOKUP($C282, published_rates!$A$2:$C$9, 2, FALSE)</f>
        <v>0.41</v>
      </c>
      <c r="G282">
        <f>VLOOKUP($C282, published_rates!$A$2:$C$9, 3, FALSE)</f>
        <v>5</v>
      </c>
      <c r="H282">
        <f>VLOOKUP($B282, demand!$A$2:$C$44, 2, FALSE)</f>
        <v>664.08</v>
      </c>
      <c r="I282">
        <f>VLOOKUP($B282, demand!$A$2:$C$44, 3, FALSE)</f>
        <v>22</v>
      </c>
      <c r="J282" t="str">
        <f>VLOOKUP($B282, distributors!$A$2:$C$44, 2, FALSE)</f>
        <v>Fernley</v>
      </c>
      <c r="K282" t="str">
        <f>VLOOKUP($B282, distributors!$A$2:$C$44, 3, FALSE)</f>
        <v>NV</v>
      </c>
    </row>
    <row r="283" spans="1:11" x14ac:dyDescent="0.2">
      <c r="A283" s="2" t="s">
        <v>63</v>
      </c>
      <c r="B283" s="2">
        <v>89509</v>
      </c>
      <c r="C283" s="2">
        <v>4</v>
      </c>
      <c r="D283">
        <f>VLOOKUP($C283, private_rates!$A$2:$C$9, 2, FALSE)</f>
        <v>0.35</v>
      </c>
      <c r="E283">
        <f>VLOOKUP($C283, private_rates!$A$2:$C$9, 3, FALSE)</f>
        <v>4.6500000000000004</v>
      </c>
      <c r="F283">
        <f>VLOOKUP($C283, published_rates!$A$2:$C$9, 2, FALSE)</f>
        <v>0.41</v>
      </c>
      <c r="G283">
        <f>VLOOKUP($C283, published_rates!$A$2:$C$9, 3, FALSE)</f>
        <v>5</v>
      </c>
      <c r="H283">
        <f>VLOOKUP($B283, demand!$A$2:$C$44, 2, FALSE)</f>
        <v>707.57</v>
      </c>
      <c r="I283">
        <f>VLOOKUP($B283, demand!$A$2:$C$44, 3, FALSE)</f>
        <v>24</v>
      </c>
      <c r="J283" t="str">
        <f>VLOOKUP($B283, distributors!$A$2:$C$44, 2, FALSE)</f>
        <v>Reno</v>
      </c>
      <c r="K283" t="str">
        <f>VLOOKUP($B283, distributors!$A$2:$C$44, 3, FALSE)</f>
        <v>NV</v>
      </c>
    </row>
    <row r="284" spans="1:11" x14ac:dyDescent="0.2">
      <c r="A284" s="2" t="s">
        <v>63</v>
      </c>
      <c r="B284" s="2">
        <v>89822</v>
      </c>
      <c r="C284" s="2">
        <v>4</v>
      </c>
      <c r="D284">
        <f>VLOOKUP($C284, private_rates!$A$2:$C$9, 2, FALSE)</f>
        <v>0.35</v>
      </c>
      <c r="E284">
        <f>VLOOKUP($C284, private_rates!$A$2:$C$9, 3, FALSE)</f>
        <v>4.6500000000000004</v>
      </c>
      <c r="F284">
        <f>VLOOKUP($C284, published_rates!$A$2:$C$9, 2, FALSE)</f>
        <v>0.41</v>
      </c>
      <c r="G284">
        <f>VLOOKUP($C284, published_rates!$A$2:$C$9, 3, FALSE)</f>
        <v>5</v>
      </c>
      <c r="H284">
        <f>VLOOKUP($B284, demand!$A$2:$C$44, 2, FALSE)</f>
        <v>449.57000000000005</v>
      </c>
      <c r="I284">
        <f>VLOOKUP($B284, demand!$A$2:$C$44, 3, FALSE)</f>
        <v>15</v>
      </c>
      <c r="J284" t="str">
        <f>VLOOKUP($B284, distributors!$A$2:$C$44, 2, FALSE)</f>
        <v>Carlin</v>
      </c>
      <c r="K284" t="str">
        <f>VLOOKUP($B284, distributors!$A$2:$C$44, 3, FALSE)</f>
        <v>NV</v>
      </c>
    </row>
    <row r="285" spans="1:11" x14ac:dyDescent="0.2">
      <c r="A285" s="2" t="s">
        <v>63</v>
      </c>
      <c r="B285" s="2">
        <v>90061</v>
      </c>
      <c r="C285" s="2">
        <v>5</v>
      </c>
      <c r="D285">
        <f>VLOOKUP($C285, private_rates!$A$2:$C$9, 2, FALSE)</f>
        <v>0.4</v>
      </c>
      <c r="E285">
        <f>VLOOKUP($C285, private_rates!$A$2:$C$9, 3, FALSE)</f>
        <v>5</v>
      </c>
      <c r="F285">
        <f>VLOOKUP($C285, published_rates!$A$2:$C$9, 2, FALSE)</f>
        <v>0.46</v>
      </c>
      <c r="G285">
        <f>VLOOKUP($C285, published_rates!$A$2:$C$9, 3, FALSE)</f>
        <v>5.4</v>
      </c>
      <c r="H285">
        <f>VLOOKUP($B285, demand!$A$2:$C$44, 2, FALSE)</f>
        <v>1106.2900000000002</v>
      </c>
      <c r="I285">
        <f>VLOOKUP($B285, demand!$A$2:$C$44, 3, FALSE)</f>
        <v>38</v>
      </c>
      <c r="J285" t="str">
        <f>VLOOKUP($B285, distributors!$A$2:$C$44, 2, FALSE)</f>
        <v>Los Angeles</v>
      </c>
      <c r="K285" t="str">
        <f>VLOOKUP($B285, distributors!$A$2:$C$44, 3, FALSE)</f>
        <v>CA</v>
      </c>
    </row>
    <row r="286" spans="1:11" x14ac:dyDescent="0.2">
      <c r="A286" s="2" t="s">
        <v>63</v>
      </c>
      <c r="B286" s="2">
        <v>93030</v>
      </c>
      <c r="C286" s="2">
        <v>5</v>
      </c>
      <c r="D286">
        <f>VLOOKUP($C286, private_rates!$A$2:$C$9, 2, FALSE)</f>
        <v>0.4</v>
      </c>
      <c r="E286">
        <f>VLOOKUP($C286, private_rates!$A$2:$C$9, 3, FALSE)</f>
        <v>5</v>
      </c>
      <c r="F286">
        <f>VLOOKUP($C286, published_rates!$A$2:$C$9, 2, FALSE)</f>
        <v>0.46</v>
      </c>
      <c r="G286">
        <f>VLOOKUP($C286, published_rates!$A$2:$C$9, 3, FALSE)</f>
        <v>5.4</v>
      </c>
      <c r="H286">
        <f>VLOOKUP($B286, demand!$A$2:$C$44, 2, FALSE)</f>
        <v>716.37</v>
      </c>
      <c r="I286">
        <f>VLOOKUP($B286, demand!$A$2:$C$44, 3, FALSE)</f>
        <v>25</v>
      </c>
      <c r="J286" t="str">
        <f>VLOOKUP($B286, distributors!$A$2:$C$44, 2, FALSE)</f>
        <v>Oxnard</v>
      </c>
      <c r="K286" t="str">
        <f>VLOOKUP($B286, distributors!$A$2:$C$44, 3, FALSE)</f>
        <v>CA</v>
      </c>
    </row>
    <row r="287" spans="1:11" x14ac:dyDescent="0.2">
      <c r="A287" s="2" t="s">
        <v>63</v>
      </c>
      <c r="B287" s="2">
        <v>93427</v>
      </c>
      <c r="C287" s="2">
        <v>5</v>
      </c>
      <c r="D287">
        <f>VLOOKUP($C287, private_rates!$A$2:$C$9, 2, FALSE)</f>
        <v>0.4</v>
      </c>
      <c r="E287">
        <f>VLOOKUP($C287, private_rates!$A$2:$C$9, 3, FALSE)</f>
        <v>5</v>
      </c>
      <c r="F287">
        <f>VLOOKUP($C287, published_rates!$A$2:$C$9, 2, FALSE)</f>
        <v>0.46</v>
      </c>
      <c r="G287">
        <f>VLOOKUP($C287, published_rates!$A$2:$C$9, 3, FALSE)</f>
        <v>5.4</v>
      </c>
      <c r="H287">
        <f>VLOOKUP($B287, demand!$A$2:$C$44, 2, FALSE)</f>
        <v>571.88000000000011</v>
      </c>
      <c r="I287">
        <f>VLOOKUP($B287, demand!$A$2:$C$44, 3, FALSE)</f>
        <v>18</v>
      </c>
      <c r="J287" t="str">
        <f>VLOOKUP($B287, distributors!$A$2:$C$44, 2, FALSE)</f>
        <v>Buellton</v>
      </c>
      <c r="K287" t="str">
        <f>VLOOKUP($B287, distributors!$A$2:$C$44, 3, FALSE)</f>
        <v>CA</v>
      </c>
    </row>
    <row r="288" spans="1:11" x14ac:dyDescent="0.2">
      <c r="A288" s="2" t="s">
        <v>63</v>
      </c>
      <c r="B288" s="2">
        <v>93703</v>
      </c>
      <c r="C288" s="2">
        <v>5</v>
      </c>
      <c r="D288">
        <f>VLOOKUP($C288, private_rates!$A$2:$C$9, 2, FALSE)</f>
        <v>0.4</v>
      </c>
      <c r="E288">
        <f>VLOOKUP($C288, private_rates!$A$2:$C$9, 3, FALSE)</f>
        <v>5</v>
      </c>
      <c r="F288">
        <f>VLOOKUP($C288, published_rates!$A$2:$C$9, 2, FALSE)</f>
        <v>0.46</v>
      </c>
      <c r="G288">
        <f>VLOOKUP($C288, published_rates!$A$2:$C$9, 3, FALSE)</f>
        <v>5.4</v>
      </c>
      <c r="H288">
        <f>VLOOKUP($B288, demand!$A$2:$C$44, 2, FALSE)</f>
        <v>1164.45</v>
      </c>
      <c r="I288">
        <f>VLOOKUP($B288, demand!$A$2:$C$44, 3, FALSE)</f>
        <v>39</v>
      </c>
      <c r="J288" t="str">
        <f>VLOOKUP($B288, distributors!$A$2:$C$44, 2, FALSE)</f>
        <v>Fresno</v>
      </c>
      <c r="K288" t="str">
        <f>VLOOKUP($B288, distributors!$A$2:$C$44, 3, FALSE)</f>
        <v>CA</v>
      </c>
    </row>
    <row r="289" spans="1:11" x14ac:dyDescent="0.2">
      <c r="A289" s="2" t="s">
        <v>63</v>
      </c>
      <c r="B289" s="2">
        <v>93906</v>
      </c>
      <c r="C289" s="2">
        <v>5</v>
      </c>
      <c r="D289">
        <f>VLOOKUP($C289, private_rates!$A$2:$C$9, 2, FALSE)</f>
        <v>0.4</v>
      </c>
      <c r="E289">
        <f>VLOOKUP($C289, private_rates!$A$2:$C$9, 3, FALSE)</f>
        <v>5</v>
      </c>
      <c r="F289">
        <f>VLOOKUP($C289, published_rates!$A$2:$C$9, 2, FALSE)</f>
        <v>0.46</v>
      </c>
      <c r="G289">
        <f>VLOOKUP($C289, published_rates!$A$2:$C$9, 3, FALSE)</f>
        <v>5.4</v>
      </c>
      <c r="H289">
        <f>VLOOKUP($B289, demand!$A$2:$C$44, 2, FALSE)</f>
        <v>894.16999999999985</v>
      </c>
      <c r="I289">
        <f>VLOOKUP($B289, demand!$A$2:$C$44, 3, FALSE)</f>
        <v>30</v>
      </c>
      <c r="J289" t="str">
        <f>VLOOKUP($B289, distributors!$A$2:$C$44, 2, FALSE)</f>
        <v>Salinas</v>
      </c>
      <c r="K289" t="str">
        <f>VLOOKUP($B289, distributors!$A$2:$C$44, 3, FALSE)</f>
        <v>CA</v>
      </c>
    </row>
    <row r="290" spans="1:11" x14ac:dyDescent="0.2">
      <c r="A290" s="2" t="s">
        <v>63</v>
      </c>
      <c r="B290" s="2">
        <v>94403</v>
      </c>
      <c r="C290" s="2">
        <v>4</v>
      </c>
      <c r="D290">
        <f>VLOOKUP($C290, private_rates!$A$2:$C$9, 2, FALSE)</f>
        <v>0.35</v>
      </c>
      <c r="E290">
        <f>VLOOKUP($C290, private_rates!$A$2:$C$9, 3, FALSE)</f>
        <v>4.6500000000000004</v>
      </c>
      <c r="F290">
        <f>VLOOKUP($C290, published_rates!$A$2:$C$9, 2, FALSE)</f>
        <v>0.41</v>
      </c>
      <c r="G290">
        <f>VLOOKUP($C290, published_rates!$A$2:$C$9, 3, FALSE)</f>
        <v>5</v>
      </c>
      <c r="H290">
        <f>VLOOKUP($B290, demand!$A$2:$C$44, 2, FALSE)</f>
        <v>724.06999999999994</v>
      </c>
      <c r="I290">
        <f>VLOOKUP($B290, demand!$A$2:$C$44, 3, FALSE)</f>
        <v>24</v>
      </c>
      <c r="J290" t="str">
        <f>VLOOKUP($B290, distributors!$A$2:$C$44, 2, FALSE)</f>
        <v>San Mateo</v>
      </c>
      <c r="K290" t="str">
        <f>VLOOKUP($B290, distributors!$A$2:$C$44, 3, FALSE)</f>
        <v>CA</v>
      </c>
    </row>
    <row r="291" spans="1:11" x14ac:dyDescent="0.2">
      <c r="A291" s="2" t="s">
        <v>63</v>
      </c>
      <c r="B291" s="2">
        <v>95051</v>
      </c>
      <c r="C291" s="2">
        <v>5</v>
      </c>
      <c r="D291">
        <f>VLOOKUP($C291, private_rates!$A$2:$C$9, 2, FALSE)</f>
        <v>0.4</v>
      </c>
      <c r="E291">
        <f>VLOOKUP($C291, private_rates!$A$2:$C$9, 3, FALSE)</f>
        <v>5</v>
      </c>
      <c r="F291">
        <f>VLOOKUP($C291, published_rates!$A$2:$C$9, 2, FALSE)</f>
        <v>0.46</v>
      </c>
      <c r="G291">
        <f>VLOOKUP($C291, published_rates!$A$2:$C$9, 3, FALSE)</f>
        <v>5.4</v>
      </c>
      <c r="H291">
        <f>VLOOKUP($B291, demand!$A$2:$C$44, 2, FALSE)</f>
        <v>806.2600000000001</v>
      </c>
      <c r="I291">
        <f>VLOOKUP($B291, demand!$A$2:$C$44, 3, FALSE)</f>
        <v>26</v>
      </c>
      <c r="J291" t="str">
        <f>VLOOKUP($B291, distributors!$A$2:$C$44, 2, FALSE)</f>
        <v>Santa Clara</v>
      </c>
      <c r="K291" t="str">
        <f>VLOOKUP($B291, distributors!$A$2:$C$44, 3, FALSE)</f>
        <v>CA</v>
      </c>
    </row>
    <row r="292" spans="1:11" x14ac:dyDescent="0.2">
      <c r="A292" s="2" t="s">
        <v>63</v>
      </c>
      <c r="B292" s="2">
        <v>95993</v>
      </c>
      <c r="C292" s="2">
        <v>4</v>
      </c>
      <c r="D292">
        <f>VLOOKUP($C292, private_rates!$A$2:$C$9, 2, FALSE)</f>
        <v>0.35</v>
      </c>
      <c r="E292">
        <f>VLOOKUP($C292, private_rates!$A$2:$C$9, 3, FALSE)</f>
        <v>4.6500000000000004</v>
      </c>
      <c r="F292">
        <f>VLOOKUP($C292, published_rates!$A$2:$C$9, 2, FALSE)</f>
        <v>0.41</v>
      </c>
      <c r="G292">
        <f>VLOOKUP($C292, published_rates!$A$2:$C$9, 3, FALSE)</f>
        <v>5</v>
      </c>
      <c r="H292">
        <f>VLOOKUP($B292, demand!$A$2:$C$44, 2, FALSE)</f>
        <v>783.16</v>
      </c>
      <c r="I292">
        <f>VLOOKUP($B292, demand!$A$2:$C$44, 3, FALSE)</f>
        <v>26</v>
      </c>
      <c r="J292" t="str">
        <f>VLOOKUP($B292, distributors!$A$2:$C$44, 2, FALSE)</f>
        <v>Yuba City</v>
      </c>
      <c r="K292" t="str">
        <f>VLOOKUP($B292, distributors!$A$2:$C$44, 3, FALSE)</f>
        <v>CA</v>
      </c>
    </row>
    <row r="293" spans="1:11" x14ac:dyDescent="0.2">
      <c r="A293" s="2" t="s">
        <v>63</v>
      </c>
      <c r="B293" s="2">
        <v>96130</v>
      </c>
      <c r="C293" s="2">
        <v>4</v>
      </c>
      <c r="D293">
        <f>VLOOKUP($C293, private_rates!$A$2:$C$9, 2, FALSE)</f>
        <v>0.35</v>
      </c>
      <c r="E293">
        <f>VLOOKUP($C293, private_rates!$A$2:$C$9, 3, FALSE)</f>
        <v>4.6500000000000004</v>
      </c>
      <c r="F293">
        <f>VLOOKUP($C293, published_rates!$A$2:$C$9, 2, FALSE)</f>
        <v>0.41</v>
      </c>
      <c r="G293">
        <f>VLOOKUP($C293, published_rates!$A$2:$C$9, 3, FALSE)</f>
        <v>5</v>
      </c>
      <c r="H293">
        <f>VLOOKUP($B293, demand!$A$2:$C$44, 2, FALSE)</f>
        <v>488.46000000000004</v>
      </c>
      <c r="I293">
        <f>VLOOKUP($B293, demand!$A$2:$C$44, 3, FALSE)</f>
        <v>16</v>
      </c>
      <c r="J293" t="str">
        <f>VLOOKUP($B293, distributors!$A$2:$C$44, 2, FALSE)</f>
        <v>Susanville</v>
      </c>
      <c r="K293" t="str">
        <f>VLOOKUP($B293, distributors!$A$2:$C$44, 3, FALSE)</f>
        <v>CA</v>
      </c>
    </row>
    <row r="294" spans="1:11" x14ac:dyDescent="0.2">
      <c r="A294" s="2" t="s">
        <v>63</v>
      </c>
      <c r="B294" s="2">
        <v>97002</v>
      </c>
      <c r="C294" s="2">
        <v>3</v>
      </c>
      <c r="D294">
        <f>VLOOKUP($C294, private_rates!$A$2:$C$9, 2, FALSE)</f>
        <v>0.32</v>
      </c>
      <c r="E294">
        <f>VLOOKUP($C294, private_rates!$A$2:$C$9, 3, FALSE)</f>
        <v>4.3</v>
      </c>
      <c r="F294">
        <f>VLOOKUP($C294, published_rates!$A$2:$C$9, 2, FALSE)</f>
        <v>0.37</v>
      </c>
      <c r="G294">
        <f>VLOOKUP($C294, published_rates!$A$2:$C$9, 3, FALSE)</f>
        <v>4.6500000000000004</v>
      </c>
      <c r="H294">
        <f>VLOOKUP($B294, demand!$A$2:$C$44, 2, FALSE)</f>
        <v>665.41999999999985</v>
      </c>
      <c r="I294">
        <f>VLOOKUP($B294, demand!$A$2:$C$44, 3, FALSE)</f>
        <v>22</v>
      </c>
      <c r="J294" t="str">
        <f>VLOOKUP($B294, distributors!$A$2:$C$44, 2, FALSE)</f>
        <v>Aurora</v>
      </c>
      <c r="K294" t="str">
        <f>VLOOKUP($B294, distributors!$A$2:$C$44, 3, FALSE)</f>
        <v>OR</v>
      </c>
    </row>
    <row r="295" spans="1:11" x14ac:dyDescent="0.2">
      <c r="A295" s="2" t="s">
        <v>63</v>
      </c>
      <c r="B295" s="2">
        <v>97524</v>
      </c>
      <c r="C295" s="2">
        <v>4</v>
      </c>
      <c r="D295">
        <f>VLOOKUP($C295, private_rates!$A$2:$C$9, 2, FALSE)</f>
        <v>0.35</v>
      </c>
      <c r="E295">
        <f>VLOOKUP($C295, private_rates!$A$2:$C$9, 3, FALSE)</f>
        <v>4.6500000000000004</v>
      </c>
      <c r="F295">
        <f>VLOOKUP($C295, published_rates!$A$2:$C$9, 2, FALSE)</f>
        <v>0.41</v>
      </c>
      <c r="G295">
        <f>VLOOKUP($C295, published_rates!$A$2:$C$9, 3, FALSE)</f>
        <v>5</v>
      </c>
      <c r="H295">
        <f>VLOOKUP($B295, demand!$A$2:$C$44, 2, FALSE)</f>
        <v>935.86999999999989</v>
      </c>
      <c r="I295">
        <f>VLOOKUP($B295, demand!$A$2:$C$44, 3, FALSE)</f>
        <v>30</v>
      </c>
      <c r="J295" t="str">
        <f>VLOOKUP($B295, distributors!$A$2:$C$44, 2, FALSE)</f>
        <v>Eagle Point</v>
      </c>
      <c r="K295" t="str">
        <f>VLOOKUP($B295, distributors!$A$2:$C$44, 3, FALSE)</f>
        <v>OR</v>
      </c>
    </row>
    <row r="296" spans="1:11" x14ac:dyDescent="0.2">
      <c r="A296" s="2" t="s">
        <v>63</v>
      </c>
      <c r="B296" s="2">
        <v>97862</v>
      </c>
      <c r="C296" s="2">
        <v>2</v>
      </c>
      <c r="D296">
        <f>VLOOKUP($C296, private_rates!$A$2:$C$9, 2, FALSE)</f>
        <v>0.28000000000000003</v>
      </c>
      <c r="E296">
        <f>VLOOKUP($C296, private_rates!$A$2:$C$9, 3, FALSE)</f>
        <v>4</v>
      </c>
      <c r="F296">
        <f>VLOOKUP($C296, published_rates!$A$2:$C$9, 2, FALSE)</f>
        <v>0.33</v>
      </c>
      <c r="G296">
        <f>VLOOKUP($C296, published_rates!$A$2:$C$9, 3, FALSE)</f>
        <v>4.2</v>
      </c>
      <c r="H296">
        <f>VLOOKUP($B296, demand!$A$2:$C$44, 2, FALSE)</f>
        <v>817.06</v>
      </c>
      <c r="I296">
        <f>VLOOKUP($B296, demand!$A$2:$C$44, 3, FALSE)</f>
        <v>26</v>
      </c>
      <c r="J296" t="str">
        <f>VLOOKUP($B296, distributors!$A$2:$C$44, 2, FALSE)</f>
        <v>Milton Freewater</v>
      </c>
      <c r="K296" t="str">
        <f>VLOOKUP($B296, distributors!$A$2:$C$44, 3, FALSE)</f>
        <v>OR</v>
      </c>
    </row>
    <row r="297" spans="1:11" x14ac:dyDescent="0.2">
      <c r="A297" s="2" t="s">
        <v>63</v>
      </c>
      <c r="B297" s="2">
        <v>97920</v>
      </c>
      <c r="C297" s="2">
        <v>3</v>
      </c>
      <c r="D297">
        <f>VLOOKUP($C297, private_rates!$A$2:$C$9, 2, FALSE)</f>
        <v>0.32</v>
      </c>
      <c r="E297">
        <f>VLOOKUP($C297, private_rates!$A$2:$C$9, 3, FALSE)</f>
        <v>4.3</v>
      </c>
      <c r="F297">
        <f>VLOOKUP($C297, published_rates!$A$2:$C$9, 2, FALSE)</f>
        <v>0.37</v>
      </c>
      <c r="G297">
        <f>VLOOKUP($C297, published_rates!$A$2:$C$9, 3, FALSE)</f>
        <v>4.6500000000000004</v>
      </c>
      <c r="H297">
        <f>VLOOKUP($B297, demand!$A$2:$C$44, 2, FALSE)</f>
        <v>546.56999999999994</v>
      </c>
      <c r="I297">
        <f>VLOOKUP($B297, demand!$A$2:$C$44, 3, FALSE)</f>
        <v>16</v>
      </c>
      <c r="J297" t="str">
        <f>VLOOKUP($B297, distributors!$A$2:$C$44, 2, FALSE)</f>
        <v>Westfall</v>
      </c>
      <c r="K297" t="str">
        <f>VLOOKUP($B297, distributors!$A$2:$C$44, 3, FALSE)</f>
        <v>OR</v>
      </c>
    </row>
    <row r="298" spans="1:11" x14ac:dyDescent="0.2">
      <c r="A298" s="2" t="s">
        <v>63</v>
      </c>
      <c r="B298" s="2">
        <v>98059</v>
      </c>
      <c r="C298" s="2">
        <v>3</v>
      </c>
      <c r="D298">
        <f>VLOOKUP($C298, private_rates!$A$2:$C$9, 2, FALSE)</f>
        <v>0.32</v>
      </c>
      <c r="E298">
        <f>VLOOKUP($C298, private_rates!$A$2:$C$9, 3, FALSE)</f>
        <v>4.3</v>
      </c>
      <c r="F298">
        <f>VLOOKUP($C298, published_rates!$A$2:$C$9, 2, FALSE)</f>
        <v>0.37</v>
      </c>
      <c r="G298">
        <f>VLOOKUP($C298, published_rates!$A$2:$C$9, 3, FALSE)</f>
        <v>4.6500000000000004</v>
      </c>
      <c r="H298">
        <f>VLOOKUP($B298, demand!$A$2:$C$44, 2, FALSE)</f>
        <v>968.45</v>
      </c>
      <c r="I298">
        <f>VLOOKUP($B298, demand!$A$2:$C$44, 3, FALSE)</f>
        <v>30</v>
      </c>
      <c r="J298" t="str">
        <f>VLOOKUP($B298, distributors!$A$2:$C$44, 2, FALSE)</f>
        <v>Renton</v>
      </c>
      <c r="K298" t="str">
        <f>VLOOKUP($B298, distributors!$A$2:$C$44, 3, FALSE)</f>
        <v>WA</v>
      </c>
    </row>
    <row r="299" spans="1:11" x14ac:dyDescent="0.2">
      <c r="A299" s="2" t="s">
        <v>63</v>
      </c>
      <c r="B299" s="2">
        <v>98248</v>
      </c>
      <c r="C299" s="2">
        <v>3</v>
      </c>
      <c r="D299">
        <f>VLOOKUP($C299, private_rates!$A$2:$C$9, 2, FALSE)</f>
        <v>0.32</v>
      </c>
      <c r="E299">
        <f>VLOOKUP($C299, private_rates!$A$2:$C$9, 3, FALSE)</f>
        <v>4.3</v>
      </c>
      <c r="F299">
        <f>VLOOKUP($C299, published_rates!$A$2:$C$9, 2, FALSE)</f>
        <v>0.37</v>
      </c>
      <c r="G299">
        <f>VLOOKUP($C299, published_rates!$A$2:$C$9, 3, FALSE)</f>
        <v>4.6500000000000004</v>
      </c>
      <c r="H299">
        <f>VLOOKUP($B299, demand!$A$2:$C$44, 2, FALSE)</f>
        <v>752.47</v>
      </c>
      <c r="I299">
        <f>VLOOKUP($B299, demand!$A$2:$C$44, 3, FALSE)</f>
        <v>23</v>
      </c>
      <c r="J299" t="str">
        <f>VLOOKUP($B299, distributors!$A$2:$C$44, 2, FALSE)</f>
        <v>Ferndale</v>
      </c>
      <c r="K299" t="str">
        <f>VLOOKUP($B299, distributors!$A$2:$C$44, 3, FALSE)</f>
        <v>WA</v>
      </c>
    </row>
    <row r="300" spans="1:11" x14ac:dyDescent="0.2">
      <c r="A300" s="2" t="s">
        <v>63</v>
      </c>
      <c r="B300" s="2">
        <v>98812</v>
      </c>
      <c r="C300" s="2">
        <v>2</v>
      </c>
      <c r="D300">
        <f>VLOOKUP($C300, private_rates!$A$2:$C$9, 2, FALSE)</f>
        <v>0.28000000000000003</v>
      </c>
      <c r="E300">
        <f>VLOOKUP($C300, private_rates!$A$2:$C$9, 3, FALSE)</f>
        <v>4</v>
      </c>
      <c r="F300">
        <f>VLOOKUP($C300, published_rates!$A$2:$C$9, 2, FALSE)</f>
        <v>0.33</v>
      </c>
      <c r="G300">
        <f>VLOOKUP($C300, published_rates!$A$2:$C$9, 3, FALSE)</f>
        <v>4.2</v>
      </c>
      <c r="H300">
        <f>VLOOKUP($B300, demand!$A$2:$C$44, 2, FALSE)</f>
        <v>679.12999999999977</v>
      </c>
      <c r="I300">
        <f>VLOOKUP($B300, demand!$A$2:$C$44, 3, FALSE)</f>
        <v>22</v>
      </c>
      <c r="J300" t="str">
        <f>VLOOKUP($B300, distributors!$A$2:$C$44, 2, FALSE)</f>
        <v>Brewster</v>
      </c>
      <c r="K300" t="str">
        <f>VLOOKUP($B300, distributors!$A$2:$C$44, 3, FALSE)</f>
        <v>WA</v>
      </c>
    </row>
    <row r="301" spans="1:11" x14ac:dyDescent="0.2">
      <c r="A301" s="2" t="s">
        <v>63</v>
      </c>
      <c r="B301" s="2">
        <v>99223</v>
      </c>
      <c r="C301" s="2">
        <v>2</v>
      </c>
      <c r="D301">
        <f>VLOOKUP($C301, private_rates!$A$2:$C$9, 2, FALSE)</f>
        <v>0.28000000000000003</v>
      </c>
      <c r="E301">
        <f>VLOOKUP($C301, private_rates!$A$2:$C$9, 3, FALSE)</f>
        <v>4</v>
      </c>
      <c r="F301">
        <f>VLOOKUP($C301, published_rates!$A$2:$C$9, 2, FALSE)</f>
        <v>0.33</v>
      </c>
      <c r="G301">
        <f>VLOOKUP($C301, published_rates!$A$2:$C$9, 3, FALSE)</f>
        <v>4.2</v>
      </c>
      <c r="H301">
        <f>VLOOKUP($B301, demand!$A$2:$C$44, 2, FALSE)</f>
        <v>669.4</v>
      </c>
      <c r="I301">
        <f>VLOOKUP($B301, demand!$A$2:$C$44, 3, FALSE)</f>
        <v>21</v>
      </c>
      <c r="J301" t="str">
        <f>VLOOKUP($B301, distributors!$A$2:$C$44, 2, FALSE)</f>
        <v>Spokane</v>
      </c>
      <c r="K301" t="str">
        <f>VLOOKUP($B301, distributors!$A$2:$C$44, 3, FALSE)</f>
        <v>WA</v>
      </c>
    </row>
    <row r="302" spans="1:11" x14ac:dyDescent="0.2">
      <c r="A302" s="2" t="s">
        <v>63</v>
      </c>
      <c r="B302" s="2">
        <v>99350</v>
      </c>
      <c r="C302" s="2">
        <v>2</v>
      </c>
      <c r="D302">
        <f>VLOOKUP($C302, private_rates!$A$2:$C$9, 2, FALSE)</f>
        <v>0.28000000000000003</v>
      </c>
      <c r="E302">
        <f>VLOOKUP($C302, private_rates!$A$2:$C$9, 3, FALSE)</f>
        <v>4</v>
      </c>
      <c r="F302">
        <f>VLOOKUP($C302, published_rates!$A$2:$C$9, 2, FALSE)</f>
        <v>0.33</v>
      </c>
      <c r="G302">
        <f>VLOOKUP($C302, published_rates!$A$2:$C$9, 3, FALSE)</f>
        <v>4.2</v>
      </c>
      <c r="H302">
        <f>VLOOKUP($B302, demand!$A$2:$C$44, 2, FALSE)</f>
        <v>711.80000000000018</v>
      </c>
      <c r="I302">
        <f>VLOOKUP($B302, demand!$A$2:$C$44, 3, FALSE)</f>
        <v>22</v>
      </c>
      <c r="J302" t="str">
        <f>VLOOKUP($B302, distributors!$A$2:$C$44, 2, FALSE)</f>
        <v>Prosser</v>
      </c>
      <c r="K302" t="str">
        <f>VLOOKUP($B302, distributors!$A$2:$C$44, 3, FALSE)</f>
        <v>WA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sqref="A1:H9"/>
    </sheetView>
  </sheetViews>
  <sheetFormatPr baseColWidth="10" defaultColWidth="8.83203125" defaultRowHeight="15" x14ac:dyDescent="0.2"/>
  <cols>
    <col min="1" max="1" width="14.5" bestFit="1" customWidth="1"/>
    <col min="2" max="2" width="5.5" bestFit="1" customWidth="1"/>
    <col min="3" max="3" width="6" bestFit="1" customWidth="1"/>
    <col min="4" max="4" width="12" bestFit="1" customWidth="1"/>
    <col min="6" max="6" width="16.83203125" bestFit="1" customWidth="1"/>
    <col min="7" max="7" width="10.83203125" customWidth="1"/>
    <col min="8" max="8" width="12.6640625" customWidth="1"/>
  </cols>
  <sheetData>
    <row r="1" spans="1:8" x14ac:dyDescent="0.2">
      <c r="A1" s="1" t="s">
        <v>85</v>
      </c>
      <c r="B1" s="1" t="s">
        <v>66</v>
      </c>
      <c r="C1" s="1" t="s">
        <v>81</v>
      </c>
      <c r="D1" s="1" t="s">
        <v>76</v>
      </c>
      <c r="E1" s="1" t="s">
        <v>77</v>
      </c>
      <c r="F1" s="1" t="s">
        <v>78</v>
      </c>
      <c r="G1" s="1" t="s">
        <v>84</v>
      </c>
      <c r="H1" s="1" t="s">
        <v>83</v>
      </c>
    </row>
    <row r="2" spans="1:8" x14ac:dyDescent="0.2">
      <c r="A2" t="s">
        <v>56</v>
      </c>
      <c r="B2" t="s">
        <v>86</v>
      </c>
      <c r="C2">
        <v>15238</v>
      </c>
      <c r="D2" s="6">
        <v>0</v>
      </c>
      <c r="E2" s="6">
        <v>0</v>
      </c>
      <c r="F2" s="5">
        <v>0</v>
      </c>
      <c r="G2" s="7">
        <v>0</v>
      </c>
      <c r="H2" t="s">
        <v>87</v>
      </c>
    </row>
    <row r="3" spans="1:8" x14ac:dyDescent="0.2">
      <c r="A3" t="s">
        <v>57</v>
      </c>
      <c r="B3" t="s">
        <v>69</v>
      </c>
      <c r="C3">
        <v>91789</v>
      </c>
      <c r="D3" s="6">
        <v>1.1000000000000001</v>
      </c>
      <c r="E3" s="6">
        <v>1.1399999999999999</v>
      </c>
      <c r="F3" s="5">
        <v>2422</v>
      </c>
      <c r="G3" s="7">
        <v>40000</v>
      </c>
      <c r="H3" t="s">
        <v>88</v>
      </c>
    </row>
    <row r="4" spans="1:8" x14ac:dyDescent="0.2">
      <c r="A4" t="s">
        <v>70</v>
      </c>
      <c r="B4" t="s">
        <v>71</v>
      </c>
      <c r="C4">
        <v>97420</v>
      </c>
      <c r="D4" s="6">
        <v>1.1000000000000001</v>
      </c>
      <c r="E4" s="6">
        <v>1.27</v>
      </c>
      <c r="F4" s="5">
        <v>2796</v>
      </c>
      <c r="G4" s="7">
        <v>40000</v>
      </c>
      <c r="H4" t="s">
        <v>88</v>
      </c>
    </row>
    <row r="5" spans="1:8" x14ac:dyDescent="0.2">
      <c r="A5" t="s">
        <v>59</v>
      </c>
      <c r="B5" t="s">
        <v>72</v>
      </c>
      <c r="C5">
        <v>89029</v>
      </c>
      <c r="D5" s="6">
        <v>1.4</v>
      </c>
      <c r="E5" s="6">
        <v>1.23</v>
      </c>
      <c r="F5" s="5">
        <v>2160</v>
      </c>
      <c r="G5" s="7">
        <v>40000</v>
      </c>
      <c r="H5" t="s">
        <v>88</v>
      </c>
    </row>
    <row r="6" spans="1:8" x14ac:dyDescent="0.2">
      <c r="A6" t="s">
        <v>60</v>
      </c>
      <c r="B6" t="s">
        <v>73</v>
      </c>
      <c r="C6">
        <v>83263</v>
      </c>
      <c r="D6" s="6">
        <v>1.35</v>
      </c>
      <c r="E6" s="6">
        <v>1.3</v>
      </c>
      <c r="F6" s="5">
        <v>1923</v>
      </c>
      <c r="G6" s="7">
        <v>40000</v>
      </c>
      <c r="H6" t="s">
        <v>88</v>
      </c>
    </row>
    <row r="7" spans="1:8" x14ac:dyDescent="0.2">
      <c r="A7" t="s">
        <v>61</v>
      </c>
      <c r="B7" t="s">
        <v>74</v>
      </c>
      <c r="C7">
        <v>86045</v>
      </c>
      <c r="D7" s="6">
        <v>1.25</v>
      </c>
      <c r="E7" s="6">
        <v>1.19</v>
      </c>
      <c r="F7" s="5">
        <v>2031</v>
      </c>
      <c r="G7" s="7">
        <v>40000</v>
      </c>
      <c r="H7" t="s">
        <v>88</v>
      </c>
    </row>
    <row r="8" spans="1:8" x14ac:dyDescent="0.2">
      <c r="A8" t="s">
        <v>62</v>
      </c>
      <c r="B8" t="s">
        <v>69</v>
      </c>
      <c r="C8">
        <v>95687</v>
      </c>
      <c r="D8" s="6">
        <v>1.1000000000000001</v>
      </c>
      <c r="E8" s="6">
        <v>1.36</v>
      </c>
      <c r="F8" s="5">
        <v>2531</v>
      </c>
      <c r="G8" s="7">
        <v>40000</v>
      </c>
      <c r="H8" t="s">
        <v>88</v>
      </c>
    </row>
    <row r="9" spans="1:8" x14ac:dyDescent="0.2">
      <c r="A9" t="s">
        <v>63</v>
      </c>
      <c r="B9" t="s">
        <v>75</v>
      </c>
      <c r="C9">
        <v>99362</v>
      </c>
      <c r="D9" s="6">
        <v>1.1000000000000001</v>
      </c>
      <c r="E9" s="6">
        <v>1.08</v>
      </c>
      <c r="F9" s="5">
        <v>2401</v>
      </c>
      <c r="G9" s="7">
        <v>40000</v>
      </c>
      <c r="H9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1"/>
  <sheetViews>
    <sheetView workbookViewId="0">
      <selection sqref="A1:B68"/>
    </sheetView>
  </sheetViews>
  <sheetFormatPr baseColWidth="10" defaultColWidth="8.83203125" defaultRowHeight="15" x14ac:dyDescent="0.2"/>
  <cols>
    <col min="1" max="1" width="14.1640625" bestFit="1" customWidth="1"/>
    <col min="2" max="2" width="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59019</v>
      </c>
      <c r="B2">
        <v>13.99</v>
      </c>
    </row>
    <row r="3" spans="1:2" x14ac:dyDescent="0.2">
      <c r="A3">
        <v>59019</v>
      </c>
      <c r="B3">
        <v>27.89</v>
      </c>
    </row>
    <row r="4" spans="1:2" x14ac:dyDescent="0.2">
      <c r="A4">
        <v>59019</v>
      </c>
      <c r="B4">
        <v>16.8</v>
      </c>
    </row>
    <row r="5" spans="1:2" x14ac:dyDescent="0.2">
      <c r="A5">
        <v>59019</v>
      </c>
      <c r="B5">
        <v>19.91</v>
      </c>
    </row>
    <row r="6" spans="1:2" x14ac:dyDescent="0.2">
      <c r="A6">
        <v>59019</v>
      </c>
      <c r="B6">
        <v>27.49</v>
      </c>
    </row>
    <row r="7" spans="1:2" x14ac:dyDescent="0.2">
      <c r="A7">
        <v>59019</v>
      </c>
      <c r="B7">
        <v>24.67</v>
      </c>
    </row>
    <row r="8" spans="1:2" x14ac:dyDescent="0.2">
      <c r="A8">
        <v>59019</v>
      </c>
      <c r="B8">
        <v>30.84</v>
      </c>
    </row>
    <row r="9" spans="1:2" x14ac:dyDescent="0.2">
      <c r="A9">
        <v>59019</v>
      </c>
      <c r="B9">
        <v>18.43</v>
      </c>
    </row>
    <row r="10" spans="1:2" x14ac:dyDescent="0.2">
      <c r="A10">
        <v>59019</v>
      </c>
      <c r="B10">
        <v>22.71</v>
      </c>
    </row>
    <row r="11" spans="1:2" x14ac:dyDescent="0.2">
      <c r="A11">
        <v>59019</v>
      </c>
      <c r="B11">
        <v>26.97</v>
      </c>
    </row>
    <row r="12" spans="1:2" x14ac:dyDescent="0.2">
      <c r="A12">
        <v>59019</v>
      </c>
      <c r="B12">
        <v>30.14</v>
      </c>
    </row>
    <row r="13" spans="1:2" x14ac:dyDescent="0.2">
      <c r="A13">
        <v>59019</v>
      </c>
      <c r="B13">
        <v>21.77</v>
      </c>
    </row>
    <row r="14" spans="1:2" x14ac:dyDescent="0.2">
      <c r="A14">
        <v>59019</v>
      </c>
      <c r="B14">
        <v>25.42</v>
      </c>
    </row>
    <row r="15" spans="1:2" x14ac:dyDescent="0.2">
      <c r="A15">
        <v>59019</v>
      </c>
      <c r="B15">
        <v>34.74</v>
      </c>
    </row>
    <row r="16" spans="1:2" x14ac:dyDescent="0.2">
      <c r="A16">
        <v>59019</v>
      </c>
      <c r="B16">
        <v>31.23</v>
      </c>
    </row>
    <row r="17" spans="1:2" x14ac:dyDescent="0.2">
      <c r="A17">
        <v>59019</v>
      </c>
      <c r="B17">
        <v>25.48</v>
      </c>
    </row>
    <row r="18" spans="1:2" x14ac:dyDescent="0.2">
      <c r="A18">
        <v>59019</v>
      </c>
      <c r="B18">
        <v>29.65</v>
      </c>
    </row>
    <row r="19" spans="1:2" x14ac:dyDescent="0.2">
      <c r="A19">
        <v>59019</v>
      </c>
      <c r="B19">
        <v>53.64</v>
      </c>
    </row>
    <row r="20" spans="1:2" x14ac:dyDescent="0.2">
      <c r="A20">
        <v>59019</v>
      </c>
      <c r="B20">
        <v>28.72</v>
      </c>
    </row>
    <row r="21" spans="1:2" x14ac:dyDescent="0.2">
      <c r="A21">
        <v>59019</v>
      </c>
      <c r="B21">
        <v>20.16</v>
      </c>
    </row>
    <row r="22" spans="1:2" x14ac:dyDescent="0.2">
      <c r="A22">
        <v>59019</v>
      </c>
      <c r="B22">
        <v>18.43</v>
      </c>
    </row>
    <row r="23" spans="1:2" x14ac:dyDescent="0.2">
      <c r="A23">
        <v>59019</v>
      </c>
      <c r="B23">
        <v>23.5</v>
      </c>
    </row>
    <row r="24" spans="1:2" x14ac:dyDescent="0.2">
      <c r="A24">
        <v>59019</v>
      </c>
      <c r="B24">
        <v>14.65</v>
      </c>
    </row>
    <row r="25" spans="1:2" x14ac:dyDescent="0.2">
      <c r="A25">
        <v>59019</v>
      </c>
      <c r="B25">
        <v>38.11</v>
      </c>
    </row>
    <row r="26" spans="1:2" x14ac:dyDescent="0.2">
      <c r="A26">
        <v>59019</v>
      </c>
      <c r="B26">
        <v>43.16</v>
      </c>
    </row>
    <row r="27" spans="1:2" x14ac:dyDescent="0.2">
      <c r="A27">
        <v>59019</v>
      </c>
      <c r="B27">
        <v>18.54</v>
      </c>
    </row>
    <row r="28" spans="1:2" x14ac:dyDescent="0.2">
      <c r="A28">
        <v>59019</v>
      </c>
      <c r="B28">
        <v>20.94</v>
      </c>
    </row>
    <row r="29" spans="1:2" x14ac:dyDescent="0.2">
      <c r="A29">
        <v>59019</v>
      </c>
      <c r="B29">
        <v>17.61</v>
      </c>
    </row>
    <row r="30" spans="1:2" x14ac:dyDescent="0.2">
      <c r="A30">
        <v>59019</v>
      </c>
      <c r="B30">
        <v>23.23</v>
      </c>
    </row>
    <row r="31" spans="1:2" x14ac:dyDescent="0.2">
      <c r="A31">
        <v>59019</v>
      </c>
      <c r="B31">
        <v>31.02</v>
      </c>
    </row>
    <row r="32" spans="1:2" x14ac:dyDescent="0.2">
      <c r="A32">
        <v>59634</v>
      </c>
      <c r="B32">
        <v>32.409999999999997</v>
      </c>
    </row>
    <row r="33" spans="1:2" x14ac:dyDescent="0.2">
      <c r="A33">
        <v>59634</v>
      </c>
      <c r="B33">
        <v>13.39</v>
      </c>
    </row>
    <row r="34" spans="1:2" x14ac:dyDescent="0.2">
      <c r="A34">
        <v>59634</v>
      </c>
      <c r="B34">
        <v>28.19</v>
      </c>
    </row>
    <row r="35" spans="1:2" x14ac:dyDescent="0.2">
      <c r="A35">
        <v>59634</v>
      </c>
      <c r="B35">
        <v>21.04</v>
      </c>
    </row>
    <row r="36" spans="1:2" x14ac:dyDescent="0.2">
      <c r="A36">
        <v>59634</v>
      </c>
      <c r="B36">
        <v>35.119999999999997</v>
      </c>
    </row>
    <row r="37" spans="1:2" x14ac:dyDescent="0.2">
      <c r="A37">
        <v>59634</v>
      </c>
      <c r="B37">
        <v>9.7799999999999994</v>
      </c>
    </row>
    <row r="38" spans="1:2" x14ac:dyDescent="0.2">
      <c r="A38">
        <v>59634</v>
      </c>
      <c r="B38">
        <v>24.83</v>
      </c>
    </row>
    <row r="39" spans="1:2" x14ac:dyDescent="0.2">
      <c r="A39">
        <v>59634</v>
      </c>
      <c r="B39">
        <v>37.49</v>
      </c>
    </row>
    <row r="40" spans="1:2" x14ac:dyDescent="0.2">
      <c r="A40">
        <v>59634</v>
      </c>
      <c r="B40">
        <v>27.05</v>
      </c>
    </row>
    <row r="41" spans="1:2" x14ac:dyDescent="0.2">
      <c r="A41">
        <v>59634</v>
      </c>
      <c r="B41">
        <v>17.48</v>
      </c>
    </row>
    <row r="42" spans="1:2" x14ac:dyDescent="0.2">
      <c r="A42">
        <v>59634</v>
      </c>
      <c r="B42">
        <v>24.57</v>
      </c>
    </row>
    <row r="43" spans="1:2" x14ac:dyDescent="0.2">
      <c r="A43">
        <v>59634</v>
      </c>
      <c r="B43">
        <v>21.16</v>
      </c>
    </row>
    <row r="44" spans="1:2" x14ac:dyDescent="0.2">
      <c r="A44">
        <v>59634</v>
      </c>
      <c r="B44">
        <v>20.03</v>
      </c>
    </row>
    <row r="45" spans="1:2" x14ac:dyDescent="0.2">
      <c r="A45">
        <v>59634</v>
      </c>
      <c r="B45">
        <v>5.71</v>
      </c>
    </row>
    <row r="46" spans="1:2" x14ac:dyDescent="0.2">
      <c r="A46">
        <v>59634</v>
      </c>
      <c r="B46">
        <v>19.89</v>
      </c>
    </row>
    <row r="47" spans="1:2" x14ac:dyDescent="0.2">
      <c r="A47">
        <v>59634</v>
      </c>
      <c r="B47">
        <v>21.43</v>
      </c>
    </row>
    <row r="48" spans="1:2" x14ac:dyDescent="0.2">
      <c r="A48">
        <v>59634</v>
      </c>
      <c r="B48">
        <v>30.27</v>
      </c>
    </row>
    <row r="49" spans="1:2" x14ac:dyDescent="0.2">
      <c r="A49">
        <v>59634</v>
      </c>
      <c r="B49">
        <v>28.56</v>
      </c>
    </row>
    <row r="50" spans="1:2" x14ac:dyDescent="0.2">
      <c r="A50">
        <v>59634</v>
      </c>
      <c r="B50">
        <v>51.64</v>
      </c>
    </row>
    <row r="51" spans="1:2" x14ac:dyDescent="0.2">
      <c r="A51">
        <v>59634</v>
      </c>
      <c r="B51">
        <v>22.57</v>
      </c>
    </row>
    <row r="52" spans="1:2" x14ac:dyDescent="0.2">
      <c r="A52">
        <v>59634</v>
      </c>
      <c r="B52">
        <v>30.17</v>
      </c>
    </row>
    <row r="53" spans="1:2" x14ac:dyDescent="0.2">
      <c r="A53">
        <v>59634</v>
      </c>
      <c r="B53">
        <v>34.479999999999997</v>
      </c>
    </row>
    <row r="54" spans="1:2" x14ac:dyDescent="0.2">
      <c r="A54">
        <v>59634</v>
      </c>
      <c r="B54">
        <v>25.37</v>
      </c>
    </row>
    <row r="55" spans="1:2" x14ac:dyDescent="0.2">
      <c r="A55">
        <v>59634</v>
      </c>
      <c r="B55">
        <v>21.61</v>
      </c>
    </row>
    <row r="56" spans="1:2" x14ac:dyDescent="0.2">
      <c r="A56">
        <v>59634</v>
      </c>
      <c r="B56">
        <v>29.28</v>
      </c>
    </row>
    <row r="57" spans="1:2" x14ac:dyDescent="0.2">
      <c r="A57">
        <v>59634</v>
      </c>
      <c r="B57">
        <v>18.79</v>
      </c>
    </row>
    <row r="58" spans="1:2" x14ac:dyDescent="0.2">
      <c r="A58">
        <v>59634</v>
      </c>
      <c r="B58">
        <v>20.55</v>
      </c>
    </row>
    <row r="59" spans="1:2" x14ac:dyDescent="0.2">
      <c r="A59">
        <v>59634</v>
      </c>
      <c r="B59">
        <v>40.83</v>
      </c>
    </row>
    <row r="60" spans="1:2" x14ac:dyDescent="0.2">
      <c r="A60">
        <v>59634</v>
      </c>
      <c r="B60">
        <v>16.64</v>
      </c>
    </row>
    <row r="61" spans="1:2" x14ac:dyDescent="0.2">
      <c r="A61">
        <v>59808</v>
      </c>
      <c r="B61">
        <v>12.89</v>
      </c>
    </row>
    <row r="62" spans="1:2" x14ac:dyDescent="0.2">
      <c r="A62">
        <v>59808</v>
      </c>
      <c r="B62">
        <v>24.07</v>
      </c>
    </row>
    <row r="63" spans="1:2" x14ac:dyDescent="0.2">
      <c r="A63">
        <v>59808</v>
      </c>
      <c r="B63">
        <v>20.86</v>
      </c>
    </row>
    <row r="64" spans="1:2" x14ac:dyDescent="0.2">
      <c r="A64">
        <v>59808</v>
      </c>
      <c r="B64">
        <v>49.43</v>
      </c>
    </row>
    <row r="65" spans="1:2" x14ac:dyDescent="0.2">
      <c r="A65">
        <v>59808</v>
      </c>
      <c r="B65">
        <v>31.75</v>
      </c>
    </row>
    <row r="66" spans="1:2" x14ac:dyDescent="0.2">
      <c r="A66">
        <v>59808</v>
      </c>
      <c r="B66">
        <v>28.4</v>
      </c>
    </row>
    <row r="67" spans="1:2" x14ac:dyDescent="0.2">
      <c r="A67">
        <v>59808</v>
      </c>
      <c r="B67">
        <v>24.09</v>
      </c>
    </row>
    <row r="68" spans="1:2" x14ac:dyDescent="0.2">
      <c r="A68">
        <v>59808</v>
      </c>
      <c r="B68">
        <v>25.34</v>
      </c>
    </row>
    <row r="69" spans="1:2" x14ac:dyDescent="0.2">
      <c r="A69">
        <v>59808</v>
      </c>
      <c r="B69">
        <v>18.54</v>
      </c>
    </row>
    <row r="70" spans="1:2" x14ac:dyDescent="0.2">
      <c r="A70">
        <v>59808</v>
      </c>
      <c r="B70">
        <v>4.7300000000000004</v>
      </c>
    </row>
    <row r="71" spans="1:2" x14ac:dyDescent="0.2">
      <c r="A71">
        <v>59808</v>
      </c>
      <c r="B71">
        <v>30.51</v>
      </c>
    </row>
    <row r="72" spans="1:2" x14ac:dyDescent="0.2">
      <c r="A72">
        <v>59808</v>
      </c>
      <c r="B72">
        <v>17.55</v>
      </c>
    </row>
    <row r="73" spans="1:2" x14ac:dyDescent="0.2">
      <c r="A73">
        <v>59808</v>
      </c>
      <c r="B73">
        <v>23.46</v>
      </c>
    </row>
    <row r="74" spans="1:2" x14ac:dyDescent="0.2">
      <c r="A74">
        <v>59808</v>
      </c>
      <c r="B74">
        <v>52.88</v>
      </c>
    </row>
    <row r="75" spans="1:2" x14ac:dyDescent="0.2">
      <c r="A75">
        <v>59808</v>
      </c>
      <c r="B75">
        <v>20.49</v>
      </c>
    </row>
    <row r="76" spans="1:2" x14ac:dyDescent="0.2">
      <c r="A76">
        <v>59808</v>
      </c>
      <c r="B76">
        <v>19.37</v>
      </c>
    </row>
    <row r="77" spans="1:2" x14ac:dyDescent="0.2">
      <c r="A77">
        <v>59808</v>
      </c>
      <c r="B77">
        <v>23.47</v>
      </c>
    </row>
    <row r="78" spans="1:2" x14ac:dyDescent="0.2">
      <c r="A78">
        <v>59808</v>
      </c>
      <c r="B78">
        <v>24.53</v>
      </c>
    </row>
    <row r="79" spans="1:2" x14ac:dyDescent="0.2">
      <c r="A79">
        <v>59808</v>
      </c>
      <c r="B79">
        <v>19.420000000000002</v>
      </c>
    </row>
    <row r="80" spans="1:2" x14ac:dyDescent="0.2">
      <c r="A80">
        <v>59808</v>
      </c>
      <c r="B80">
        <v>13.21</v>
      </c>
    </row>
    <row r="81" spans="1:2" x14ac:dyDescent="0.2">
      <c r="A81">
        <v>59808</v>
      </c>
      <c r="B81">
        <v>18.399999999999999</v>
      </c>
    </row>
    <row r="82" spans="1:2" x14ac:dyDescent="0.2">
      <c r="A82">
        <v>59808</v>
      </c>
      <c r="B82">
        <v>36.75</v>
      </c>
    </row>
    <row r="83" spans="1:2" x14ac:dyDescent="0.2">
      <c r="A83">
        <v>59808</v>
      </c>
      <c r="B83">
        <v>28.2</v>
      </c>
    </row>
    <row r="84" spans="1:2" x14ac:dyDescent="0.2">
      <c r="A84">
        <v>81321</v>
      </c>
      <c r="B84">
        <v>16.28</v>
      </c>
    </row>
    <row r="85" spans="1:2" x14ac:dyDescent="0.2">
      <c r="A85">
        <v>81321</v>
      </c>
      <c r="B85">
        <v>25.73</v>
      </c>
    </row>
    <row r="86" spans="1:2" x14ac:dyDescent="0.2">
      <c r="A86">
        <v>81321</v>
      </c>
      <c r="B86">
        <v>41.93</v>
      </c>
    </row>
    <row r="87" spans="1:2" x14ac:dyDescent="0.2">
      <c r="A87">
        <v>81321</v>
      </c>
      <c r="B87">
        <v>24.81</v>
      </c>
    </row>
    <row r="88" spans="1:2" x14ac:dyDescent="0.2">
      <c r="A88">
        <v>81321</v>
      </c>
      <c r="B88">
        <v>21.37</v>
      </c>
    </row>
    <row r="89" spans="1:2" x14ac:dyDescent="0.2">
      <c r="A89">
        <v>81321</v>
      </c>
      <c r="B89">
        <v>17.13</v>
      </c>
    </row>
    <row r="90" spans="1:2" x14ac:dyDescent="0.2">
      <c r="A90">
        <v>81321</v>
      </c>
      <c r="B90">
        <v>20.76</v>
      </c>
    </row>
    <row r="91" spans="1:2" x14ac:dyDescent="0.2">
      <c r="A91">
        <v>81321</v>
      </c>
      <c r="B91">
        <v>28.42</v>
      </c>
    </row>
    <row r="92" spans="1:2" x14ac:dyDescent="0.2">
      <c r="A92">
        <v>81321</v>
      </c>
      <c r="B92">
        <v>23.47</v>
      </c>
    </row>
    <row r="93" spans="1:2" x14ac:dyDescent="0.2">
      <c r="A93">
        <v>81321</v>
      </c>
      <c r="B93">
        <v>7.49</v>
      </c>
    </row>
    <row r="94" spans="1:2" x14ac:dyDescent="0.2">
      <c r="A94">
        <v>81321</v>
      </c>
      <c r="B94">
        <v>30.38</v>
      </c>
    </row>
    <row r="95" spans="1:2" x14ac:dyDescent="0.2">
      <c r="A95">
        <v>81321</v>
      </c>
      <c r="B95">
        <v>27.86</v>
      </c>
    </row>
    <row r="96" spans="1:2" x14ac:dyDescent="0.2">
      <c r="A96">
        <v>81321</v>
      </c>
      <c r="B96">
        <v>25.3</v>
      </c>
    </row>
    <row r="97" spans="1:2" x14ac:dyDescent="0.2">
      <c r="A97">
        <v>81321</v>
      </c>
      <c r="B97">
        <v>41.06</v>
      </c>
    </row>
    <row r="98" spans="1:2" x14ac:dyDescent="0.2">
      <c r="A98">
        <v>81321</v>
      </c>
      <c r="B98">
        <v>24.16</v>
      </c>
    </row>
    <row r="99" spans="1:2" x14ac:dyDescent="0.2">
      <c r="A99">
        <v>81321</v>
      </c>
      <c r="B99">
        <v>19.43</v>
      </c>
    </row>
    <row r="100" spans="1:2" x14ac:dyDescent="0.2">
      <c r="A100">
        <v>81321</v>
      </c>
      <c r="B100">
        <v>21.67</v>
      </c>
    </row>
    <row r="101" spans="1:2" x14ac:dyDescent="0.2">
      <c r="A101">
        <v>81321</v>
      </c>
      <c r="B101">
        <v>17.2</v>
      </c>
    </row>
    <row r="102" spans="1:2" x14ac:dyDescent="0.2">
      <c r="A102">
        <v>81321</v>
      </c>
      <c r="B102">
        <v>51.43</v>
      </c>
    </row>
    <row r="103" spans="1:2" x14ac:dyDescent="0.2">
      <c r="A103">
        <v>81321</v>
      </c>
      <c r="B103">
        <v>18.75</v>
      </c>
    </row>
    <row r="104" spans="1:2" x14ac:dyDescent="0.2">
      <c r="A104">
        <v>81321</v>
      </c>
      <c r="B104">
        <v>23.87</v>
      </c>
    </row>
    <row r="105" spans="1:2" x14ac:dyDescent="0.2">
      <c r="A105">
        <v>81321</v>
      </c>
      <c r="B105">
        <v>15.43</v>
      </c>
    </row>
    <row r="106" spans="1:2" x14ac:dyDescent="0.2">
      <c r="A106">
        <v>81321</v>
      </c>
      <c r="B106">
        <v>20.04</v>
      </c>
    </row>
    <row r="107" spans="1:2" x14ac:dyDescent="0.2">
      <c r="A107">
        <v>81321</v>
      </c>
      <c r="B107">
        <v>7.12</v>
      </c>
    </row>
    <row r="108" spans="1:2" x14ac:dyDescent="0.2">
      <c r="A108">
        <v>81321</v>
      </c>
      <c r="B108">
        <v>18.52</v>
      </c>
    </row>
    <row r="109" spans="1:2" x14ac:dyDescent="0.2">
      <c r="A109">
        <v>81321</v>
      </c>
      <c r="B109">
        <v>20.43</v>
      </c>
    </row>
    <row r="110" spans="1:2" x14ac:dyDescent="0.2">
      <c r="A110">
        <v>81321</v>
      </c>
      <c r="B110">
        <v>19.28</v>
      </c>
    </row>
    <row r="111" spans="1:2" x14ac:dyDescent="0.2">
      <c r="A111">
        <v>81321</v>
      </c>
      <c r="B111">
        <v>10.37</v>
      </c>
    </row>
    <row r="112" spans="1:2" x14ac:dyDescent="0.2">
      <c r="A112">
        <v>81321</v>
      </c>
      <c r="B112">
        <v>36.479999999999997</v>
      </c>
    </row>
    <row r="113" spans="1:2" x14ac:dyDescent="0.2">
      <c r="A113">
        <v>81321</v>
      </c>
      <c r="B113">
        <v>27.44</v>
      </c>
    </row>
    <row r="114" spans="1:2" x14ac:dyDescent="0.2">
      <c r="A114">
        <v>81321</v>
      </c>
      <c r="B114">
        <v>22.71</v>
      </c>
    </row>
    <row r="115" spans="1:2" x14ac:dyDescent="0.2">
      <c r="A115">
        <v>81321</v>
      </c>
      <c r="B115">
        <v>32.68</v>
      </c>
    </row>
    <row r="116" spans="1:2" x14ac:dyDescent="0.2">
      <c r="A116">
        <v>81416</v>
      </c>
      <c r="B116">
        <v>5.26</v>
      </c>
    </row>
    <row r="117" spans="1:2" x14ac:dyDescent="0.2">
      <c r="A117">
        <v>81416</v>
      </c>
      <c r="B117">
        <v>42.79</v>
      </c>
    </row>
    <row r="118" spans="1:2" x14ac:dyDescent="0.2">
      <c r="A118">
        <v>81416</v>
      </c>
      <c r="B118">
        <v>19.510000000000002</v>
      </c>
    </row>
    <row r="119" spans="1:2" x14ac:dyDescent="0.2">
      <c r="A119">
        <v>81416</v>
      </c>
      <c r="B119">
        <v>20.37</v>
      </c>
    </row>
    <row r="120" spans="1:2" x14ac:dyDescent="0.2">
      <c r="A120">
        <v>81416</v>
      </c>
      <c r="B120">
        <v>34.840000000000003</v>
      </c>
    </row>
    <row r="121" spans="1:2" x14ac:dyDescent="0.2">
      <c r="A121">
        <v>81416</v>
      </c>
      <c r="B121">
        <v>29.33</v>
      </c>
    </row>
    <row r="122" spans="1:2" x14ac:dyDescent="0.2">
      <c r="A122">
        <v>81416</v>
      </c>
      <c r="B122">
        <v>23.76</v>
      </c>
    </row>
    <row r="123" spans="1:2" x14ac:dyDescent="0.2">
      <c r="A123">
        <v>81416</v>
      </c>
      <c r="B123">
        <v>41.84</v>
      </c>
    </row>
    <row r="124" spans="1:2" x14ac:dyDescent="0.2">
      <c r="A124">
        <v>81416</v>
      </c>
      <c r="B124">
        <v>29.79</v>
      </c>
    </row>
    <row r="125" spans="1:2" x14ac:dyDescent="0.2">
      <c r="A125">
        <v>81416</v>
      </c>
      <c r="B125">
        <v>16.45</v>
      </c>
    </row>
    <row r="126" spans="1:2" x14ac:dyDescent="0.2">
      <c r="A126">
        <v>81416</v>
      </c>
      <c r="B126">
        <v>20.43</v>
      </c>
    </row>
    <row r="127" spans="1:2" x14ac:dyDescent="0.2">
      <c r="A127">
        <v>81416</v>
      </c>
      <c r="B127">
        <v>43.2</v>
      </c>
    </row>
    <row r="128" spans="1:2" x14ac:dyDescent="0.2">
      <c r="A128">
        <v>81416</v>
      </c>
      <c r="B128">
        <v>21.87</v>
      </c>
    </row>
    <row r="129" spans="1:2" x14ac:dyDescent="0.2">
      <c r="A129">
        <v>81416</v>
      </c>
      <c r="B129">
        <v>15.48</v>
      </c>
    </row>
    <row r="130" spans="1:2" x14ac:dyDescent="0.2">
      <c r="A130">
        <v>81416</v>
      </c>
      <c r="B130">
        <v>22.75</v>
      </c>
    </row>
    <row r="131" spans="1:2" x14ac:dyDescent="0.2">
      <c r="A131">
        <v>81416</v>
      </c>
      <c r="B131">
        <v>36.58</v>
      </c>
    </row>
    <row r="132" spans="1:2" x14ac:dyDescent="0.2">
      <c r="A132">
        <v>81416</v>
      </c>
      <c r="B132">
        <v>14.17</v>
      </c>
    </row>
    <row r="133" spans="1:2" x14ac:dyDescent="0.2">
      <c r="A133">
        <v>81416</v>
      </c>
      <c r="B133">
        <v>52.33</v>
      </c>
    </row>
    <row r="134" spans="1:2" x14ac:dyDescent="0.2">
      <c r="A134">
        <v>81416</v>
      </c>
      <c r="B134">
        <v>21.46</v>
      </c>
    </row>
    <row r="135" spans="1:2" x14ac:dyDescent="0.2">
      <c r="A135">
        <v>81416</v>
      </c>
      <c r="B135">
        <v>24.68</v>
      </c>
    </row>
    <row r="136" spans="1:2" x14ac:dyDescent="0.2">
      <c r="A136">
        <v>81416</v>
      </c>
      <c r="B136">
        <v>30.89</v>
      </c>
    </row>
    <row r="137" spans="1:2" x14ac:dyDescent="0.2">
      <c r="A137">
        <v>81416</v>
      </c>
      <c r="B137">
        <v>17.53</v>
      </c>
    </row>
    <row r="138" spans="1:2" x14ac:dyDescent="0.2">
      <c r="A138">
        <v>81416</v>
      </c>
      <c r="B138">
        <v>9.08</v>
      </c>
    </row>
    <row r="139" spans="1:2" x14ac:dyDescent="0.2">
      <c r="A139">
        <v>81416</v>
      </c>
      <c r="B139">
        <v>28.57</v>
      </c>
    </row>
    <row r="140" spans="1:2" x14ac:dyDescent="0.2">
      <c r="A140">
        <v>81416</v>
      </c>
      <c r="B140">
        <v>23.65</v>
      </c>
    </row>
    <row r="141" spans="1:2" x14ac:dyDescent="0.2">
      <c r="A141">
        <v>81416</v>
      </c>
      <c r="B141">
        <v>18.43</v>
      </c>
    </row>
    <row r="142" spans="1:2" x14ac:dyDescent="0.2">
      <c r="A142">
        <v>81416</v>
      </c>
      <c r="B142">
        <v>21.91</v>
      </c>
    </row>
    <row r="143" spans="1:2" x14ac:dyDescent="0.2">
      <c r="A143">
        <v>81416</v>
      </c>
      <c r="B143">
        <v>48.75</v>
      </c>
    </row>
    <row r="144" spans="1:2" x14ac:dyDescent="0.2">
      <c r="A144">
        <v>81416</v>
      </c>
      <c r="B144">
        <v>23.48</v>
      </c>
    </row>
    <row r="145" spans="1:2" x14ac:dyDescent="0.2">
      <c r="A145">
        <v>81416</v>
      </c>
      <c r="B145">
        <v>30.19</v>
      </c>
    </row>
    <row r="146" spans="1:2" x14ac:dyDescent="0.2">
      <c r="A146">
        <v>81416</v>
      </c>
      <c r="B146">
        <v>19.239999999999998</v>
      </c>
    </row>
    <row r="147" spans="1:2" x14ac:dyDescent="0.2">
      <c r="A147">
        <v>81416</v>
      </c>
      <c r="B147">
        <v>27.43</v>
      </c>
    </row>
    <row r="148" spans="1:2" x14ac:dyDescent="0.2">
      <c r="A148">
        <v>81416</v>
      </c>
      <c r="B148">
        <v>52</v>
      </c>
    </row>
    <row r="149" spans="1:2" x14ac:dyDescent="0.2">
      <c r="A149">
        <v>81416</v>
      </c>
      <c r="B149">
        <v>22.07</v>
      </c>
    </row>
    <row r="150" spans="1:2" x14ac:dyDescent="0.2">
      <c r="A150">
        <v>81416</v>
      </c>
      <c r="B150">
        <v>16.850000000000001</v>
      </c>
    </row>
    <row r="151" spans="1:2" x14ac:dyDescent="0.2">
      <c r="A151">
        <v>81416</v>
      </c>
      <c r="B151">
        <v>23.62</v>
      </c>
    </row>
    <row r="152" spans="1:2" x14ac:dyDescent="0.2">
      <c r="A152">
        <v>81416</v>
      </c>
      <c r="B152">
        <v>25.65</v>
      </c>
    </row>
    <row r="153" spans="1:2" x14ac:dyDescent="0.2">
      <c r="A153">
        <v>81504</v>
      </c>
      <c r="B153">
        <v>36.479999999999997</v>
      </c>
    </row>
    <row r="154" spans="1:2" x14ac:dyDescent="0.2">
      <c r="A154">
        <v>81504</v>
      </c>
      <c r="B154">
        <v>20.41</v>
      </c>
    </row>
    <row r="155" spans="1:2" x14ac:dyDescent="0.2">
      <c r="A155">
        <v>81504</v>
      </c>
      <c r="B155">
        <v>28.37</v>
      </c>
    </row>
    <row r="156" spans="1:2" x14ac:dyDescent="0.2">
      <c r="A156">
        <v>81504</v>
      </c>
      <c r="B156">
        <v>14.83</v>
      </c>
    </row>
    <row r="157" spans="1:2" x14ac:dyDescent="0.2">
      <c r="A157">
        <v>81504</v>
      </c>
      <c r="B157">
        <v>24.81</v>
      </c>
    </row>
    <row r="158" spans="1:2" x14ac:dyDescent="0.2">
      <c r="A158">
        <v>81504</v>
      </c>
      <c r="B158">
        <v>31.64</v>
      </c>
    </row>
    <row r="159" spans="1:2" x14ac:dyDescent="0.2">
      <c r="A159">
        <v>81504</v>
      </c>
      <c r="B159">
        <v>28.13</v>
      </c>
    </row>
    <row r="160" spans="1:2" x14ac:dyDescent="0.2">
      <c r="A160">
        <v>81504</v>
      </c>
      <c r="B160">
        <v>17.61</v>
      </c>
    </row>
    <row r="161" spans="1:2" x14ac:dyDescent="0.2">
      <c r="A161">
        <v>81504</v>
      </c>
      <c r="B161">
        <v>23.07</v>
      </c>
    </row>
    <row r="162" spans="1:2" x14ac:dyDescent="0.2">
      <c r="A162">
        <v>81504</v>
      </c>
      <c r="B162">
        <v>26.74</v>
      </c>
    </row>
    <row r="163" spans="1:2" x14ac:dyDescent="0.2">
      <c r="A163">
        <v>81504</v>
      </c>
      <c r="B163">
        <v>21.33</v>
      </c>
    </row>
    <row r="164" spans="1:2" x14ac:dyDescent="0.2">
      <c r="A164">
        <v>81504</v>
      </c>
      <c r="B164">
        <v>39.94</v>
      </c>
    </row>
    <row r="165" spans="1:2" x14ac:dyDescent="0.2">
      <c r="A165">
        <v>81504</v>
      </c>
      <c r="B165">
        <v>50.74</v>
      </c>
    </row>
    <row r="166" spans="1:2" x14ac:dyDescent="0.2">
      <c r="A166">
        <v>81504</v>
      </c>
      <c r="B166">
        <v>20.73</v>
      </c>
    </row>
    <row r="167" spans="1:2" x14ac:dyDescent="0.2">
      <c r="A167">
        <v>81504</v>
      </c>
      <c r="B167">
        <v>32.57</v>
      </c>
    </row>
    <row r="168" spans="1:2" x14ac:dyDescent="0.2">
      <c r="A168">
        <v>81504</v>
      </c>
      <c r="B168">
        <v>28.77</v>
      </c>
    </row>
    <row r="169" spans="1:2" x14ac:dyDescent="0.2">
      <c r="A169">
        <v>81504</v>
      </c>
      <c r="B169">
        <v>25.66</v>
      </c>
    </row>
    <row r="170" spans="1:2" x14ac:dyDescent="0.2">
      <c r="A170">
        <v>81504</v>
      </c>
      <c r="B170">
        <v>40.840000000000003</v>
      </c>
    </row>
    <row r="171" spans="1:2" x14ac:dyDescent="0.2">
      <c r="A171">
        <v>81504</v>
      </c>
      <c r="B171">
        <v>17.510000000000002</v>
      </c>
    </row>
    <row r="172" spans="1:2" x14ac:dyDescent="0.2">
      <c r="A172">
        <v>81504</v>
      </c>
      <c r="B172">
        <v>21.73</v>
      </c>
    </row>
    <row r="173" spans="1:2" x14ac:dyDescent="0.2">
      <c r="A173">
        <v>81504</v>
      </c>
      <c r="B173">
        <v>22.11</v>
      </c>
    </row>
    <row r="174" spans="1:2" x14ac:dyDescent="0.2">
      <c r="A174">
        <v>81504</v>
      </c>
      <c r="B174">
        <v>16.350000000000001</v>
      </c>
    </row>
    <row r="175" spans="1:2" x14ac:dyDescent="0.2">
      <c r="A175">
        <v>81504</v>
      </c>
      <c r="B175">
        <v>55.87</v>
      </c>
    </row>
    <row r="176" spans="1:2" x14ac:dyDescent="0.2">
      <c r="A176">
        <v>81504</v>
      </c>
      <c r="B176">
        <v>18.489999999999998</v>
      </c>
    </row>
    <row r="177" spans="1:2" x14ac:dyDescent="0.2">
      <c r="A177">
        <v>81504</v>
      </c>
      <c r="B177">
        <v>22.34</v>
      </c>
    </row>
    <row r="178" spans="1:2" x14ac:dyDescent="0.2">
      <c r="A178">
        <v>81504</v>
      </c>
      <c r="B178">
        <v>20.63</v>
      </c>
    </row>
    <row r="179" spans="1:2" x14ac:dyDescent="0.2">
      <c r="A179">
        <v>81504</v>
      </c>
      <c r="B179">
        <v>17.260000000000002</v>
      </c>
    </row>
    <row r="180" spans="1:2" x14ac:dyDescent="0.2">
      <c r="A180">
        <v>81504</v>
      </c>
      <c r="B180">
        <v>33.56</v>
      </c>
    </row>
    <row r="181" spans="1:2" x14ac:dyDescent="0.2">
      <c r="A181">
        <v>81504</v>
      </c>
      <c r="B181">
        <v>20.440000000000001</v>
      </c>
    </row>
    <row r="182" spans="1:2" x14ac:dyDescent="0.2">
      <c r="A182">
        <v>81504</v>
      </c>
      <c r="B182">
        <v>22.07</v>
      </c>
    </row>
    <row r="183" spans="1:2" x14ac:dyDescent="0.2">
      <c r="A183">
        <v>81504</v>
      </c>
      <c r="B183">
        <v>37.93</v>
      </c>
    </row>
    <row r="184" spans="1:2" x14ac:dyDescent="0.2">
      <c r="A184">
        <v>81504</v>
      </c>
      <c r="B184">
        <v>21.23</v>
      </c>
    </row>
    <row r="185" spans="1:2" x14ac:dyDescent="0.2">
      <c r="A185">
        <v>81650</v>
      </c>
      <c r="B185">
        <v>20.28</v>
      </c>
    </row>
    <row r="186" spans="1:2" x14ac:dyDescent="0.2">
      <c r="A186">
        <v>81650</v>
      </c>
      <c r="B186">
        <v>5.2</v>
      </c>
    </row>
    <row r="187" spans="1:2" x14ac:dyDescent="0.2">
      <c r="A187">
        <v>81650</v>
      </c>
      <c r="B187">
        <v>24.72</v>
      </c>
    </row>
    <row r="188" spans="1:2" x14ac:dyDescent="0.2">
      <c r="A188">
        <v>81650</v>
      </c>
      <c r="B188">
        <v>27.43</v>
      </c>
    </row>
    <row r="189" spans="1:2" x14ac:dyDescent="0.2">
      <c r="A189">
        <v>81650</v>
      </c>
      <c r="B189">
        <v>20.059999999999999</v>
      </c>
    </row>
    <row r="190" spans="1:2" x14ac:dyDescent="0.2">
      <c r="A190">
        <v>81650</v>
      </c>
      <c r="B190">
        <v>33.78</v>
      </c>
    </row>
    <row r="191" spans="1:2" x14ac:dyDescent="0.2">
      <c r="A191">
        <v>81650</v>
      </c>
      <c r="B191">
        <v>30.42</v>
      </c>
    </row>
    <row r="192" spans="1:2" x14ac:dyDescent="0.2">
      <c r="A192">
        <v>81650</v>
      </c>
      <c r="B192">
        <v>42.79</v>
      </c>
    </row>
    <row r="193" spans="1:2" x14ac:dyDescent="0.2">
      <c r="A193">
        <v>81650</v>
      </c>
      <c r="B193">
        <v>27.64</v>
      </c>
    </row>
    <row r="194" spans="1:2" x14ac:dyDescent="0.2">
      <c r="A194">
        <v>81650</v>
      </c>
      <c r="B194">
        <v>24.81</v>
      </c>
    </row>
    <row r="195" spans="1:2" x14ac:dyDescent="0.2">
      <c r="A195">
        <v>81650</v>
      </c>
      <c r="B195">
        <v>27.07</v>
      </c>
    </row>
    <row r="196" spans="1:2" x14ac:dyDescent="0.2">
      <c r="A196">
        <v>81650</v>
      </c>
      <c r="B196">
        <v>19.8</v>
      </c>
    </row>
    <row r="197" spans="1:2" x14ac:dyDescent="0.2">
      <c r="A197">
        <v>81650</v>
      </c>
      <c r="B197">
        <v>24.46</v>
      </c>
    </row>
    <row r="198" spans="1:2" x14ac:dyDescent="0.2">
      <c r="A198">
        <v>81650</v>
      </c>
      <c r="B198">
        <v>53.85</v>
      </c>
    </row>
    <row r="199" spans="1:2" x14ac:dyDescent="0.2">
      <c r="A199">
        <v>81650</v>
      </c>
      <c r="B199">
        <v>21.82</v>
      </c>
    </row>
    <row r="200" spans="1:2" x14ac:dyDescent="0.2">
      <c r="A200">
        <v>81650</v>
      </c>
      <c r="B200">
        <v>31.64</v>
      </c>
    </row>
    <row r="201" spans="1:2" x14ac:dyDescent="0.2">
      <c r="A201">
        <v>81650</v>
      </c>
      <c r="B201">
        <v>16.48</v>
      </c>
    </row>
    <row r="202" spans="1:2" x14ac:dyDescent="0.2">
      <c r="A202">
        <v>81650</v>
      </c>
      <c r="B202">
        <v>24.39</v>
      </c>
    </row>
    <row r="203" spans="1:2" x14ac:dyDescent="0.2">
      <c r="A203">
        <v>81650</v>
      </c>
      <c r="B203">
        <v>20.53</v>
      </c>
    </row>
    <row r="204" spans="1:2" x14ac:dyDescent="0.2">
      <c r="A204">
        <v>81650</v>
      </c>
      <c r="B204">
        <v>19.440000000000001</v>
      </c>
    </row>
    <row r="205" spans="1:2" x14ac:dyDescent="0.2">
      <c r="A205">
        <v>81650</v>
      </c>
      <c r="B205">
        <v>38.369999999999997</v>
      </c>
    </row>
    <row r="206" spans="1:2" x14ac:dyDescent="0.2">
      <c r="A206">
        <v>81650</v>
      </c>
      <c r="B206">
        <v>30.83</v>
      </c>
    </row>
    <row r="207" spans="1:2" x14ac:dyDescent="0.2">
      <c r="A207">
        <v>83014</v>
      </c>
      <c r="B207">
        <v>23.01</v>
      </c>
    </row>
    <row r="208" spans="1:2" x14ac:dyDescent="0.2">
      <c r="A208">
        <v>83014</v>
      </c>
      <c r="B208">
        <v>41.07</v>
      </c>
    </row>
    <row r="209" spans="1:2" x14ac:dyDescent="0.2">
      <c r="A209">
        <v>83014</v>
      </c>
      <c r="B209">
        <v>24.88</v>
      </c>
    </row>
    <row r="210" spans="1:2" x14ac:dyDescent="0.2">
      <c r="A210">
        <v>83014</v>
      </c>
      <c r="B210">
        <v>26.54</v>
      </c>
    </row>
    <row r="211" spans="1:2" x14ac:dyDescent="0.2">
      <c r="A211">
        <v>83014</v>
      </c>
      <c r="B211">
        <v>17.73</v>
      </c>
    </row>
    <row r="212" spans="1:2" x14ac:dyDescent="0.2">
      <c r="A212">
        <v>83014</v>
      </c>
      <c r="B212">
        <v>27.89</v>
      </c>
    </row>
    <row r="213" spans="1:2" x14ac:dyDescent="0.2">
      <c r="A213">
        <v>83014</v>
      </c>
      <c r="B213">
        <v>31.47</v>
      </c>
    </row>
    <row r="214" spans="1:2" x14ac:dyDescent="0.2">
      <c r="A214">
        <v>83014</v>
      </c>
      <c r="B214">
        <v>4.18</v>
      </c>
    </row>
    <row r="215" spans="1:2" x14ac:dyDescent="0.2">
      <c r="A215">
        <v>83014</v>
      </c>
      <c r="B215">
        <v>15.27</v>
      </c>
    </row>
    <row r="216" spans="1:2" x14ac:dyDescent="0.2">
      <c r="A216">
        <v>83014</v>
      </c>
      <c r="B216">
        <v>49.68</v>
      </c>
    </row>
    <row r="217" spans="1:2" x14ac:dyDescent="0.2">
      <c r="A217">
        <v>83014</v>
      </c>
      <c r="B217">
        <v>30.67</v>
      </c>
    </row>
    <row r="218" spans="1:2" x14ac:dyDescent="0.2">
      <c r="A218">
        <v>83014</v>
      </c>
      <c r="B218">
        <v>21.42</v>
      </c>
    </row>
    <row r="219" spans="1:2" x14ac:dyDescent="0.2">
      <c r="A219">
        <v>83014</v>
      </c>
      <c r="B219">
        <v>48.64</v>
      </c>
    </row>
    <row r="220" spans="1:2" x14ac:dyDescent="0.2">
      <c r="A220">
        <v>83014</v>
      </c>
      <c r="B220">
        <v>29.41</v>
      </c>
    </row>
    <row r="221" spans="1:2" x14ac:dyDescent="0.2">
      <c r="A221">
        <v>83014</v>
      </c>
      <c r="B221">
        <v>20.22</v>
      </c>
    </row>
    <row r="222" spans="1:2" x14ac:dyDescent="0.2">
      <c r="A222">
        <v>83338</v>
      </c>
      <c r="B222">
        <v>40.03</v>
      </c>
    </row>
    <row r="223" spans="1:2" x14ac:dyDescent="0.2">
      <c r="A223">
        <v>83338</v>
      </c>
      <c r="B223">
        <v>24.57</v>
      </c>
    </row>
    <row r="224" spans="1:2" x14ac:dyDescent="0.2">
      <c r="A224">
        <v>83338</v>
      </c>
      <c r="B224">
        <v>31.27</v>
      </c>
    </row>
    <row r="225" spans="1:2" x14ac:dyDescent="0.2">
      <c r="A225">
        <v>83338</v>
      </c>
      <c r="B225">
        <v>18.43</v>
      </c>
    </row>
    <row r="226" spans="1:2" x14ac:dyDescent="0.2">
      <c r="A226">
        <v>83338</v>
      </c>
      <c r="B226">
        <v>28.39</v>
      </c>
    </row>
    <row r="227" spans="1:2" x14ac:dyDescent="0.2">
      <c r="A227">
        <v>83338</v>
      </c>
      <c r="B227">
        <v>21.37</v>
      </c>
    </row>
    <row r="228" spans="1:2" x14ac:dyDescent="0.2">
      <c r="A228">
        <v>83338</v>
      </c>
      <c r="B228">
        <v>19.059999999999999</v>
      </c>
    </row>
    <row r="229" spans="1:2" x14ac:dyDescent="0.2">
      <c r="A229">
        <v>83338</v>
      </c>
      <c r="B229">
        <v>30.47</v>
      </c>
    </row>
    <row r="230" spans="1:2" x14ac:dyDescent="0.2">
      <c r="A230">
        <v>83338</v>
      </c>
      <c r="B230">
        <v>28.66</v>
      </c>
    </row>
    <row r="231" spans="1:2" x14ac:dyDescent="0.2">
      <c r="A231">
        <v>83338</v>
      </c>
      <c r="B231">
        <v>10.14</v>
      </c>
    </row>
    <row r="232" spans="1:2" x14ac:dyDescent="0.2">
      <c r="A232">
        <v>83338</v>
      </c>
      <c r="B232">
        <v>25.44</v>
      </c>
    </row>
    <row r="233" spans="1:2" x14ac:dyDescent="0.2">
      <c r="A233">
        <v>83338</v>
      </c>
      <c r="B233">
        <v>31.58</v>
      </c>
    </row>
    <row r="234" spans="1:2" x14ac:dyDescent="0.2">
      <c r="A234">
        <v>83338</v>
      </c>
      <c r="B234">
        <v>50.72</v>
      </c>
    </row>
    <row r="235" spans="1:2" x14ac:dyDescent="0.2">
      <c r="A235">
        <v>83338</v>
      </c>
      <c r="B235">
        <v>26.76</v>
      </c>
    </row>
    <row r="236" spans="1:2" x14ac:dyDescent="0.2">
      <c r="A236">
        <v>83338</v>
      </c>
      <c r="B236">
        <v>25.78</v>
      </c>
    </row>
    <row r="237" spans="1:2" x14ac:dyDescent="0.2">
      <c r="A237">
        <v>83338</v>
      </c>
      <c r="B237">
        <v>19.829999999999998</v>
      </c>
    </row>
    <row r="238" spans="1:2" x14ac:dyDescent="0.2">
      <c r="A238">
        <v>83338</v>
      </c>
      <c r="B238">
        <v>27.81</v>
      </c>
    </row>
    <row r="239" spans="1:2" x14ac:dyDescent="0.2">
      <c r="A239">
        <v>83338</v>
      </c>
      <c r="B239">
        <v>24.25</v>
      </c>
    </row>
    <row r="240" spans="1:2" x14ac:dyDescent="0.2">
      <c r="A240">
        <v>83338</v>
      </c>
      <c r="B240">
        <v>20.079999999999998</v>
      </c>
    </row>
    <row r="241" spans="1:2" x14ac:dyDescent="0.2">
      <c r="A241">
        <v>83338</v>
      </c>
      <c r="B241">
        <v>23.08</v>
      </c>
    </row>
    <row r="242" spans="1:2" x14ac:dyDescent="0.2">
      <c r="A242">
        <v>83338</v>
      </c>
      <c r="B242">
        <v>18.41</v>
      </c>
    </row>
    <row r="243" spans="1:2" x14ac:dyDescent="0.2">
      <c r="A243">
        <v>83544</v>
      </c>
      <c r="B243">
        <v>4.97</v>
      </c>
    </row>
    <row r="244" spans="1:2" x14ac:dyDescent="0.2">
      <c r="A244">
        <v>83544</v>
      </c>
      <c r="B244">
        <v>21.85</v>
      </c>
    </row>
    <row r="245" spans="1:2" x14ac:dyDescent="0.2">
      <c r="A245">
        <v>83544</v>
      </c>
      <c r="B245">
        <v>15.76</v>
      </c>
    </row>
    <row r="246" spans="1:2" x14ac:dyDescent="0.2">
      <c r="A246">
        <v>83544</v>
      </c>
      <c r="B246">
        <v>23.94</v>
      </c>
    </row>
    <row r="247" spans="1:2" x14ac:dyDescent="0.2">
      <c r="A247">
        <v>83544</v>
      </c>
      <c r="B247">
        <v>28.46</v>
      </c>
    </row>
    <row r="248" spans="1:2" x14ac:dyDescent="0.2">
      <c r="A248">
        <v>83544</v>
      </c>
      <c r="B248">
        <v>50.07</v>
      </c>
    </row>
    <row r="249" spans="1:2" x14ac:dyDescent="0.2">
      <c r="A249">
        <v>83544</v>
      </c>
      <c r="B249">
        <v>17.84</v>
      </c>
    </row>
    <row r="250" spans="1:2" x14ac:dyDescent="0.2">
      <c r="A250">
        <v>83544</v>
      </c>
      <c r="B250">
        <v>34.770000000000003</v>
      </c>
    </row>
    <row r="251" spans="1:2" x14ac:dyDescent="0.2">
      <c r="A251">
        <v>83544</v>
      </c>
      <c r="B251">
        <v>30.98</v>
      </c>
    </row>
    <row r="252" spans="1:2" x14ac:dyDescent="0.2">
      <c r="A252">
        <v>83544</v>
      </c>
      <c r="B252">
        <v>27.41</v>
      </c>
    </row>
    <row r="253" spans="1:2" x14ac:dyDescent="0.2">
      <c r="A253">
        <v>83544</v>
      </c>
      <c r="B253">
        <v>21.43</v>
      </c>
    </row>
    <row r="254" spans="1:2" x14ac:dyDescent="0.2">
      <c r="A254">
        <v>83544</v>
      </c>
      <c r="B254">
        <v>32.01</v>
      </c>
    </row>
    <row r="255" spans="1:2" x14ac:dyDescent="0.2">
      <c r="A255">
        <v>83544</v>
      </c>
      <c r="B255">
        <v>19.77</v>
      </c>
    </row>
    <row r="256" spans="1:2" x14ac:dyDescent="0.2">
      <c r="A256">
        <v>83544</v>
      </c>
      <c r="B256">
        <v>26.84</v>
      </c>
    </row>
    <row r="257" spans="1:2" x14ac:dyDescent="0.2">
      <c r="A257">
        <v>83544</v>
      </c>
      <c r="B257">
        <v>27.16</v>
      </c>
    </row>
    <row r="258" spans="1:2" x14ac:dyDescent="0.2">
      <c r="A258">
        <v>83544</v>
      </c>
      <c r="B258">
        <v>51.59</v>
      </c>
    </row>
    <row r="259" spans="1:2" x14ac:dyDescent="0.2">
      <c r="A259">
        <v>83544</v>
      </c>
      <c r="B259">
        <v>20.41</v>
      </c>
    </row>
    <row r="260" spans="1:2" x14ac:dyDescent="0.2">
      <c r="A260">
        <v>83544</v>
      </c>
      <c r="B260">
        <v>35.58</v>
      </c>
    </row>
    <row r="261" spans="1:2" x14ac:dyDescent="0.2">
      <c r="A261">
        <v>83544</v>
      </c>
      <c r="B261">
        <v>17.02</v>
      </c>
    </row>
    <row r="262" spans="1:2" x14ac:dyDescent="0.2">
      <c r="A262">
        <v>83544</v>
      </c>
      <c r="B262">
        <v>27.13</v>
      </c>
    </row>
    <row r="263" spans="1:2" x14ac:dyDescent="0.2">
      <c r="A263">
        <v>83544</v>
      </c>
      <c r="B263">
        <v>41.71</v>
      </c>
    </row>
    <row r="264" spans="1:2" x14ac:dyDescent="0.2">
      <c r="A264">
        <v>83544</v>
      </c>
      <c r="B264">
        <v>22.77</v>
      </c>
    </row>
    <row r="265" spans="1:2" x14ac:dyDescent="0.2">
      <c r="A265">
        <v>83638</v>
      </c>
      <c r="B265">
        <v>15.89</v>
      </c>
    </row>
    <row r="266" spans="1:2" x14ac:dyDescent="0.2">
      <c r="A266">
        <v>83638</v>
      </c>
      <c r="B266">
        <v>33.85</v>
      </c>
    </row>
    <row r="267" spans="1:2" x14ac:dyDescent="0.2">
      <c r="A267">
        <v>83638</v>
      </c>
      <c r="B267">
        <v>41.05</v>
      </c>
    </row>
    <row r="268" spans="1:2" x14ac:dyDescent="0.2">
      <c r="A268">
        <v>83638</v>
      </c>
      <c r="B268">
        <v>27.84</v>
      </c>
    </row>
    <row r="269" spans="1:2" x14ac:dyDescent="0.2">
      <c r="A269">
        <v>83638</v>
      </c>
      <c r="B269">
        <v>26.59</v>
      </c>
    </row>
    <row r="270" spans="1:2" x14ac:dyDescent="0.2">
      <c r="A270">
        <v>83638</v>
      </c>
      <c r="B270">
        <v>30.18</v>
      </c>
    </row>
    <row r="271" spans="1:2" x14ac:dyDescent="0.2">
      <c r="A271">
        <v>83638</v>
      </c>
      <c r="B271">
        <v>21.16</v>
      </c>
    </row>
    <row r="272" spans="1:2" x14ac:dyDescent="0.2">
      <c r="A272">
        <v>83638</v>
      </c>
      <c r="B272">
        <v>24.75</v>
      </c>
    </row>
    <row r="273" spans="1:2" x14ac:dyDescent="0.2">
      <c r="A273">
        <v>83638</v>
      </c>
      <c r="B273">
        <v>42.88</v>
      </c>
    </row>
    <row r="274" spans="1:2" x14ac:dyDescent="0.2">
      <c r="A274">
        <v>83638</v>
      </c>
      <c r="B274">
        <v>35.479999999999997</v>
      </c>
    </row>
    <row r="275" spans="1:2" x14ac:dyDescent="0.2">
      <c r="A275">
        <v>83638</v>
      </c>
      <c r="B275">
        <v>24.61</v>
      </c>
    </row>
    <row r="276" spans="1:2" x14ac:dyDescent="0.2">
      <c r="A276">
        <v>83638</v>
      </c>
      <c r="B276">
        <v>28.15</v>
      </c>
    </row>
    <row r="277" spans="1:2" x14ac:dyDescent="0.2">
      <c r="A277">
        <v>83638</v>
      </c>
      <c r="B277">
        <v>21.74</v>
      </c>
    </row>
    <row r="278" spans="1:2" x14ac:dyDescent="0.2">
      <c r="A278">
        <v>83638</v>
      </c>
      <c r="B278">
        <v>30.78</v>
      </c>
    </row>
    <row r="279" spans="1:2" x14ac:dyDescent="0.2">
      <c r="A279">
        <v>83638</v>
      </c>
      <c r="B279">
        <v>18</v>
      </c>
    </row>
    <row r="280" spans="1:2" x14ac:dyDescent="0.2">
      <c r="A280">
        <v>83638</v>
      </c>
      <c r="B280">
        <v>52.58</v>
      </c>
    </row>
    <row r="281" spans="1:2" x14ac:dyDescent="0.2">
      <c r="A281">
        <v>83638</v>
      </c>
      <c r="B281">
        <v>30.27</v>
      </c>
    </row>
    <row r="282" spans="1:2" x14ac:dyDescent="0.2">
      <c r="A282">
        <v>83638</v>
      </c>
      <c r="B282">
        <v>22.45</v>
      </c>
    </row>
    <row r="283" spans="1:2" x14ac:dyDescent="0.2">
      <c r="A283">
        <v>83638</v>
      </c>
      <c r="B283">
        <v>32.76</v>
      </c>
    </row>
    <row r="284" spans="1:2" x14ac:dyDescent="0.2">
      <c r="A284">
        <v>83638</v>
      </c>
      <c r="B284">
        <v>17.48</v>
      </c>
    </row>
    <row r="285" spans="1:2" x14ac:dyDescent="0.2">
      <c r="A285">
        <v>83638</v>
      </c>
      <c r="B285">
        <v>28.94</v>
      </c>
    </row>
    <row r="286" spans="1:2" x14ac:dyDescent="0.2">
      <c r="A286">
        <v>83638</v>
      </c>
      <c r="B286">
        <v>15.07</v>
      </c>
    </row>
    <row r="287" spans="1:2" x14ac:dyDescent="0.2">
      <c r="A287">
        <v>83638</v>
      </c>
      <c r="B287">
        <v>38.549999999999997</v>
      </c>
    </row>
    <row r="288" spans="1:2" x14ac:dyDescent="0.2">
      <c r="A288">
        <v>83638</v>
      </c>
      <c r="B288">
        <v>27.71</v>
      </c>
    </row>
    <row r="289" spans="1:2" x14ac:dyDescent="0.2">
      <c r="A289">
        <v>83638</v>
      </c>
      <c r="B289">
        <v>53.08</v>
      </c>
    </row>
    <row r="290" spans="1:2" x14ac:dyDescent="0.2">
      <c r="A290">
        <v>83638</v>
      </c>
      <c r="B290">
        <v>23.7</v>
      </c>
    </row>
    <row r="291" spans="1:2" x14ac:dyDescent="0.2">
      <c r="A291">
        <v>83638</v>
      </c>
      <c r="B291">
        <v>13.97</v>
      </c>
    </row>
    <row r="292" spans="1:2" x14ac:dyDescent="0.2">
      <c r="A292">
        <v>83638</v>
      </c>
      <c r="B292">
        <v>17.43</v>
      </c>
    </row>
    <row r="293" spans="1:2" x14ac:dyDescent="0.2">
      <c r="A293">
        <v>83638</v>
      </c>
      <c r="B293">
        <v>21.44</v>
      </c>
    </row>
    <row r="294" spans="1:2" x14ac:dyDescent="0.2">
      <c r="A294">
        <v>83638</v>
      </c>
      <c r="B294">
        <v>35.03</v>
      </c>
    </row>
    <row r="295" spans="1:2" x14ac:dyDescent="0.2">
      <c r="A295">
        <v>83706</v>
      </c>
      <c r="B295">
        <v>8.68</v>
      </c>
    </row>
    <row r="296" spans="1:2" x14ac:dyDescent="0.2">
      <c r="A296">
        <v>83706</v>
      </c>
      <c r="B296">
        <v>25.74</v>
      </c>
    </row>
    <row r="297" spans="1:2" x14ac:dyDescent="0.2">
      <c r="A297">
        <v>83706</v>
      </c>
      <c r="B297">
        <v>50.26</v>
      </c>
    </row>
    <row r="298" spans="1:2" x14ac:dyDescent="0.2">
      <c r="A298">
        <v>83706</v>
      </c>
      <c r="B298">
        <v>30.67</v>
      </c>
    </row>
    <row r="299" spans="1:2" x14ac:dyDescent="0.2">
      <c r="A299">
        <v>83706</v>
      </c>
      <c r="B299">
        <v>24.84</v>
      </c>
    </row>
    <row r="300" spans="1:2" x14ac:dyDescent="0.2">
      <c r="A300">
        <v>83706</v>
      </c>
      <c r="B300">
        <v>29.96</v>
      </c>
    </row>
    <row r="301" spans="1:2" x14ac:dyDescent="0.2">
      <c r="A301">
        <v>83706</v>
      </c>
      <c r="B301">
        <v>32.159999999999997</v>
      </c>
    </row>
    <row r="302" spans="1:2" x14ac:dyDescent="0.2">
      <c r="A302">
        <v>83706</v>
      </c>
      <c r="B302">
        <v>19.739999999999998</v>
      </c>
    </row>
    <row r="303" spans="1:2" x14ac:dyDescent="0.2">
      <c r="A303">
        <v>83706</v>
      </c>
      <c r="B303">
        <v>24.45</v>
      </c>
    </row>
    <row r="304" spans="1:2" x14ac:dyDescent="0.2">
      <c r="A304">
        <v>83706</v>
      </c>
      <c r="B304">
        <v>33.61</v>
      </c>
    </row>
    <row r="305" spans="1:2" x14ac:dyDescent="0.2">
      <c r="A305">
        <v>83706</v>
      </c>
      <c r="B305">
        <v>27.48</v>
      </c>
    </row>
    <row r="306" spans="1:2" x14ac:dyDescent="0.2">
      <c r="A306">
        <v>83706</v>
      </c>
      <c r="B306">
        <v>20.18</v>
      </c>
    </row>
    <row r="307" spans="1:2" x14ac:dyDescent="0.2">
      <c r="A307">
        <v>83706</v>
      </c>
      <c r="B307">
        <v>30.74</v>
      </c>
    </row>
    <row r="308" spans="1:2" x14ac:dyDescent="0.2">
      <c r="A308">
        <v>83706</v>
      </c>
      <c r="B308">
        <v>26.52</v>
      </c>
    </row>
    <row r="309" spans="1:2" x14ac:dyDescent="0.2">
      <c r="A309">
        <v>83706</v>
      </c>
      <c r="B309">
        <v>46.91</v>
      </c>
    </row>
    <row r="310" spans="1:2" x14ac:dyDescent="0.2">
      <c r="A310">
        <v>83706</v>
      </c>
      <c r="B310">
        <v>28.51</v>
      </c>
    </row>
    <row r="311" spans="1:2" x14ac:dyDescent="0.2">
      <c r="A311">
        <v>83706</v>
      </c>
      <c r="B311">
        <v>18.059999999999999</v>
      </c>
    </row>
    <row r="312" spans="1:2" x14ac:dyDescent="0.2">
      <c r="A312">
        <v>83706</v>
      </c>
      <c r="B312">
        <v>40.01</v>
      </c>
    </row>
    <row r="313" spans="1:2" x14ac:dyDescent="0.2">
      <c r="A313">
        <v>84003</v>
      </c>
      <c r="B313">
        <v>17.77</v>
      </c>
    </row>
    <row r="314" spans="1:2" x14ac:dyDescent="0.2">
      <c r="A314">
        <v>84003</v>
      </c>
      <c r="B314">
        <v>23.13</v>
      </c>
    </row>
    <row r="315" spans="1:2" x14ac:dyDescent="0.2">
      <c r="A315">
        <v>84003</v>
      </c>
      <c r="B315">
        <v>22.82</v>
      </c>
    </row>
    <row r="316" spans="1:2" x14ac:dyDescent="0.2">
      <c r="A316">
        <v>84003</v>
      </c>
      <c r="B316">
        <v>30.67</v>
      </c>
    </row>
    <row r="317" spans="1:2" x14ac:dyDescent="0.2">
      <c r="A317">
        <v>84003</v>
      </c>
      <c r="B317">
        <v>24.31</v>
      </c>
    </row>
    <row r="318" spans="1:2" x14ac:dyDescent="0.2">
      <c r="A318">
        <v>84003</v>
      </c>
      <c r="B318">
        <v>48.47</v>
      </c>
    </row>
    <row r="319" spans="1:2" x14ac:dyDescent="0.2">
      <c r="A319">
        <v>84003</v>
      </c>
      <c r="B319">
        <v>25.43</v>
      </c>
    </row>
    <row r="320" spans="1:2" x14ac:dyDescent="0.2">
      <c r="A320">
        <v>84003</v>
      </c>
      <c r="B320">
        <v>30.85</v>
      </c>
    </row>
    <row r="321" spans="1:2" x14ac:dyDescent="0.2">
      <c r="A321">
        <v>84003</v>
      </c>
      <c r="B321">
        <v>27.15</v>
      </c>
    </row>
    <row r="322" spans="1:2" x14ac:dyDescent="0.2">
      <c r="A322">
        <v>84003</v>
      </c>
      <c r="B322">
        <v>11.76</v>
      </c>
    </row>
    <row r="323" spans="1:2" x14ac:dyDescent="0.2">
      <c r="A323">
        <v>84003</v>
      </c>
      <c r="B323">
        <v>43.78</v>
      </c>
    </row>
    <row r="324" spans="1:2" x14ac:dyDescent="0.2">
      <c r="A324">
        <v>84003</v>
      </c>
      <c r="B324">
        <v>24.51</v>
      </c>
    </row>
    <row r="325" spans="1:2" x14ac:dyDescent="0.2">
      <c r="A325">
        <v>84003</v>
      </c>
      <c r="B325">
        <v>26.73</v>
      </c>
    </row>
    <row r="326" spans="1:2" x14ac:dyDescent="0.2">
      <c r="A326">
        <v>84003</v>
      </c>
      <c r="B326">
        <v>47.61</v>
      </c>
    </row>
    <row r="327" spans="1:2" x14ac:dyDescent="0.2">
      <c r="A327">
        <v>84003</v>
      </c>
      <c r="B327">
        <v>18.170000000000002</v>
      </c>
    </row>
    <row r="328" spans="1:2" x14ac:dyDescent="0.2">
      <c r="A328">
        <v>84003</v>
      </c>
      <c r="B328">
        <v>29.25</v>
      </c>
    </row>
    <row r="329" spans="1:2" x14ac:dyDescent="0.2">
      <c r="A329">
        <v>84003</v>
      </c>
      <c r="B329">
        <v>41.37</v>
      </c>
    </row>
    <row r="330" spans="1:2" x14ac:dyDescent="0.2">
      <c r="A330">
        <v>84003</v>
      </c>
      <c r="B330">
        <v>21</v>
      </c>
    </row>
    <row r="331" spans="1:2" x14ac:dyDescent="0.2">
      <c r="A331">
        <v>84003</v>
      </c>
      <c r="B331">
        <v>28.5</v>
      </c>
    </row>
    <row r="332" spans="1:2" x14ac:dyDescent="0.2">
      <c r="A332">
        <v>84003</v>
      </c>
      <c r="B332">
        <v>18.29</v>
      </c>
    </row>
    <row r="333" spans="1:2" x14ac:dyDescent="0.2">
      <c r="A333">
        <v>84003</v>
      </c>
      <c r="B333">
        <v>42.53</v>
      </c>
    </row>
    <row r="334" spans="1:2" x14ac:dyDescent="0.2">
      <c r="A334">
        <v>84003</v>
      </c>
      <c r="B334">
        <v>23.35</v>
      </c>
    </row>
    <row r="335" spans="1:2" x14ac:dyDescent="0.2">
      <c r="A335">
        <v>84003</v>
      </c>
      <c r="B335">
        <v>39.25</v>
      </c>
    </row>
    <row r="336" spans="1:2" x14ac:dyDescent="0.2">
      <c r="A336">
        <v>84003</v>
      </c>
      <c r="B336">
        <v>19.07</v>
      </c>
    </row>
    <row r="337" spans="1:2" x14ac:dyDescent="0.2">
      <c r="A337">
        <v>84003</v>
      </c>
      <c r="B337">
        <v>20.84</v>
      </c>
    </row>
    <row r="338" spans="1:2" x14ac:dyDescent="0.2">
      <c r="A338">
        <v>84414</v>
      </c>
      <c r="B338">
        <v>15.93</v>
      </c>
    </row>
    <row r="339" spans="1:2" x14ac:dyDescent="0.2">
      <c r="A339">
        <v>84414</v>
      </c>
      <c r="B339">
        <v>25.48</v>
      </c>
    </row>
    <row r="340" spans="1:2" x14ac:dyDescent="0.2">
      <c r="A340">
        <v>84414</v>
      </c>
      <c r="B340">
        <v>30.57</v>
      </c>
    </row>
    <row r="341" spans="1:2" x14ac:dyDescent="0.2">
      <c r="A341">
        <v>84414</v>
      </c>
      <c r="B341">
        <v>18.46</v>
      </c>
    </row>
    <row r="342" spans="1:2" x14ac:dyDescent="0.2">
      <c r="A342">
        <v>84414</v>
      </c>
      <c r="B342">
        <v>26.44</v>
      </c>
    </row>
    <row r="343" spans="1:2" x14ac:dyDescent="0.2">
      <c r="A343">
        <v>84414</v>
      </c>
      <c r="B343">
        <v>42.05</v>
      </c>
    </row>
    <row r="344" spans="1:2" x14ac:dyDescent="0.2">
      <c r="A344">
        <v>84414</v>
      </c>
      <c r="B344">
        <v>27.87</v>
      </c>
    </row>
    <row r="345" spans="1:2" x14ac:dyDescent="0.2">
      <c r="A345">
        <v>84414</v>
      </c>
      <c r="B345">
        <v>53.43</v>
      </c>
    </row>
    <row r="346" spans="1:2" x14ac:dyDescent="0.2">
      <c r="A346">
        <v>84414</v>
      </c>
      <c r="B346">
        <v>33.54</v>
      </c>
    </row>
    <row r="347" spans="1:2" x14ac:dyDescent="0.2">
      <c r="A347">
        <v>84414</v>
      </c>
      <c r="B347">
        <v>15.72</v>
      </c>
    </row>
    <row r="348" spans="1:2" x14ac:dyDescent="0.2">
      <c r="A348">
        <v>84414</v>
      </c>
      <c r="B348">
        <v>50.85</v>
      </c>
    </row>
    <row r="349" spans="1:2" x14ac:dyDescent="0.2">
      <c r="A349">
        <v>84414</v>
      </c>
      <c r="B349">
        <v>24.14</v>
      </c>
    </row>
    <row r="350" spans="1:2" x14ac:dyDescent="0.2">
      <c r="A350">
        <v>84414</v>
      </c>
      <c r="B350">
        <v>32.56</v>
      </c>
    </row>
    <row r="351" spans="1:2" x14ac:dyDescent="0.2">
      <c r="A351">
        <v>84414</v>
      </c>
      <c r="B351">
        <v>18.36</v>
      </c>
    </row>
    <row r="352" spans="1:2" x14ac:dyDescent="0.2">
      <c r="A352">
        <v>84414</v>
      </c>
      <c r="B352">
        <v>29.46</v>
      </c>
    </row>
    <row r="353" spans="1:2" x14ac:dyDescent="0.2">
      <c r="A353">
        <v>84414</v>
      </c>
      <c r="B353">
        <v>24.77</v>
      </c>
    </row>
    <row r="354" spans="1:2" x14ac:dyDescent="0.2">
      <c r="A354">
        <v>84414</v>
      </c>
      <c r="B354">
        <v>28.37</v>
      </c>
    </row>
    <row r="355" spans="1:2" x14ac:dyDescent="0.2">
      <c r="A355">
        <v>84414</v>
      </c>
      <c r="B355">
        <v>39.69</v>
      </c>
    </row>
    <row r="356" spans="1:2" x14ac:dyDescent="0.2">
      <c r="A356">
        <v>84414</v>
      </c>
      <c r="B356">
        <v>12.59</v>
      </c>
    </row>
    <row r="357" spans="1:2" x14ac:dyDescent="0.2">
      <c r="A357">
        <v>84414</v>
      </c>
      <c r="B357">
        <v>14.97</v>
      </c>
    </row>
    <row r="358" spans="1:2" x14ac:dyDescent="0.2">
      <c r="A358">
        <v>84414</v>
      </c>
      <c r="B358">
        <v>27.64</v>
      </c>
    </row>
    <row r="359" spans="1:2" x14ac:dyDescent="0.2">
      <c r="A359">
        <v>84414</v>
      </c>
      <c r="B359">
        <v>20.78</v>
      </c>
    </row>
    <row r="360" spans="1:2" x14ac:dyDescent="0.2">
      <c r="A360">
        <v>84532</v>
      </c>
      <c r="B360">
        <v>23.88</v>
      </c>
    </row>
    <row r="361" spans="1:2" x14ac:dyDescent="0.2">
      <c r="A361">
        <v>84532</v>
      </c>
      <c r="B361">
        <v>18.28</v>
      </c>
    </row>
    <row r="362" spans="1:2" x14ac:dyDescent="0.2">
      <c r="A362">
        <v>84532</v>
      </c>
      <c r="B362">
        <v>32.42</v>
      </c>
    </row>
    <row r="363" spans="1:2" x14ac:dyDescent="0.2">
      <c r="A363">
        <v>84532</v>
      </c>
      <c r="B363">
        <v>21.04</v>
      </c>
    </row>
    <row r="364" spans="1:2" x14ac:dyDescent="0.2">
      <c r="A364">
        <v>84532</v>
      </c>
      <c r="B364">
        <v>45.47</v>
      </c>
    </row>
    <row r="365" spans="1:2" x14ac:dyDescent="0.2">
      <c r="A365">
        <v>84532</v>
      </c>
      <c r="B365">
        <v>25.37</v>
      </c>
    </row>
    <row r="366" spans="1:2" x14ac:dyDescent="0.2">
      <c r="A366">
        <v>84532</v>
      </c>
      <c r="B366">
        <v>47.02</v>
      </c>
    </row>
    <row r="367" spans="1:2" x14ac:dyDescent="0.2">
      <c r="A367">
        <v>84532</v>
      </c>
      <c r="B367">
        <v>29.46</v>
      </c>
    </row>
    <row r="368" spans="1:2" x14ac:dyDescent="0.2">
      <c r="A368">
        <v>84532</v>
      </c>
      <c r="B368">
        <v>17.16</v>
      </c>
    </row>
    <row r="369" spans="1:2" x14ac:dyDescent="0.2">
      <c r="A369">
        <v>84532</v>
      </c>
      <c r="B369">
        <v>27.52</v>
      </c>
    </row>
    <row r="370" spans="1:2" x14ac:dyDescent="0.2">
      <c r="A370">
        <v>84532</v>
      </c>
      <c r="B370">
        <v>51.88</v>
      </c>
    </row>
    <row r="371" spans="1:2" x14ac:dyDescent="0.2">
      <c r="A371">
        <v>84780</v>
      </c>
      <c r="B371">
        <v>12.62</v>
      </c>
    </row>
    <row r="372" spans="1:2" x14ac:dyDescent="0.2">
      <c r="A372">
        <v>84780</v>
      </c>
      <c r="B372">
        <v>34.869999999999997</v>
      </c>
    </row>
    <row r="373" spans="1:2" x14ac:dyDescent="0.2">
      <c r="A373">
        <v>84780</v>
      </c>
      <c r="B373">
        <v>25.43</v>
      </c>
    </row>
    <row r="374" spans="1:2" x14ac:dyDescent="0.2">
      <c r="A374">
        <v>84780</v>
      </c>
      <c r="B374">
        <v>51.55</v>
      </c>
    </row>
    <row r="375" spans="1:2" x14ac:dyDescent="0.2">
      <c r="A375">
        <v>84780</v>
      </c>
      <c r="B375">
        <v>26.61</v>
      </c>
    </row>
    <row r="376" spans="1:2" x14ac:dyDescent="0.2">
      <c r="A376">
        <v>84780</v>
      </c>
      <c r="B376">
        <v>18.45</v>
      </c>
    </row>
    <row r="377" spans="1:2" x14ac:dyDescent="0.2">
      <c r="A377">
        <v>84780</v>
      </c>
      <c r="B377">
        <v>23.37</v>
      </c>
    </row>
    <row r="378" spans="1:2" x14ac:dyDescent="0.2">
      <c r="A378">
        <v>84780</v>
      </c>
      <c r="B378">
        <v>42.08</v>
      </c>
    </row>
    <row r="379" spans="1:2" x14ac:dyDescent="0.2">
      <c r="A379">
        <v>84780</v>
      </c>
      <c r="B379">
        <v>27.15</v>
      </c>
    </row>
    <row r="380" spans="1:2" x14ac:dyDescent="0.2">
      <c r="A380">
        <v>84780</v>
      </c>
      <c r="B380">
        <v>30.57</v>
      </c>
    </row>
    <row r="381" spans="1:2" x14ac:dyDescent="0.2">
      <c r="A381">
        <v>84780</v>
      </c>
      <c r="B381">
        <v>34.479999999999997</v>
      </c>
    </row>
    <row r="382" spans="1:2" x14ac:dyDescent="0.2">
      <c r="A382">
        <v>84780</v>
      </c>
      <c r="B382">
        <v>26.38</v>
      </c>
    </row>
    <row r="383" spans="1:2" x14ac:dyDescent="0.2">
      <c r="A383">
        <v>84780</v>
      </c>
      <c r="B383">
        <v>23.34</v>
      </c>
    </row>
    <row r="384" spans="1:2" x14ac:dyDescent="0.2">
      <c r="A384">
        <v>84780</v>
      </c>
      <c r="B384">
        <v>31.13</v>
      </c>
    </row>
    <row r="385" spans="1:2" x14ac:dyDescent="0.2">
      <c r="A385">
        <v>84780</v>
      </c>
      <c r="B385">
        <v>52.66</v>
      </c>
    </row>
    <row r="386" spans="1:2" x14ac:dyDescent="0.2">
      <c r="A386">
        <v>84780</v>
      </c>
      <c r="B386">
        <v>20.72</v>
      </c>
    </row>
    <row r="387" spans="1:2" x14ac:dyDescent="0.2">
      <c r="A387">
        <v>84780</v>
      </c>
      <c r="B387">
        <v>29.03</v>
      </c>
    </row>
    <row r="388" spans="1:2" x14ac:dyDescent="0.2">
      <c r="A388">
        <v>84780</v>
      </c>
      <c r="B388">
        <v>15.33</v>
      </c>
    </row>
    <row r="389" spans="1:2" x14ac:dyDescent="0.2">
      <c r="A389">
        <v>84780</v>
      </c>
      <c r="B389">
        <v>22.84</v>
      </c>
    </row>
    <row r="390" spans="1:2" x14ac:dyDescent="0.2">
      <c r="A390">
        <v>84780</v>
      </c>
      <c r="B390">
        <v>24.18</v>
      </c>
    </row>
    <row r="391" spans="1:2" x14ac:dyDescent="0.2">
      <c r="A391">
        <v>84780</v>
      </c>
      <c r="B391">
        <v>42.96</v>
      </c>
    </row>
    <row r="392" spans="1:2" x14ac:dyDescent="0.2">
      <c r="A392">
        <v>84780</v>
      </c>
      <c r="B392">
        <v>33.130000000000003</v>
      </c>
    </row>
    <row r="393" spans="1:2" x14ac:dyDescent="0.2">
      <c r="A393">
        <v>85012</v>
      </c>
      <c r="B393">
        <v>26.29</v>
      </c>
    </row>
    <row r="394" spans="1:2" x14ac:dyDescent="0.2">
      <c r="A394">
        <v>85012</v>
      </c>
      <c r="B394">
        <v>24.78</v>
      </c>
    </row>
    <row r="395" spans="1:2" x14ac:dyDescent="0.2">
      <c r="A395">
        <v>85012</v>
      </c>
      <c r="B395">
        <v>8.6300000000000008</v>
      </c>
    </row>
    <row r="396" spans="1:2" x14ac:dyDescent="0.2">
      <c r="A396">
        <v>85012</v>
      </c>
      <c r="B396">
        <v>24.33</v>
      </c>
    </row>
    <row r="397" spans="1:2" x14ac:dyDescent="0.2">
      <c r="A397">
        <v>85012</v>
      </c>
      <c r="B397">
        <v>35.76</v>
      </c>
    </row>
    <row r="398" spans="1:2" x14ac:dyDescent="0.2">
      <c r="A398">
        <v>85012</v>
      </c>
      <c r="B398">
        <v>40.18</v>
      </c>
    </row>
    <row r="399" spans="1:2" x14ac:dyDescent="0.2">
      <c r="A399">
        <v>85012</v>
      </c>
      <c r="B399">
        <v>29.44</v>
      </c>
    </row>
    <row r="400" spans="1:2" x14ac:dyDescent="0.2">
      <c r="A400">
        <v>85012</v>
      </c>
      <c r="B400">
        <v>32.049999999999997</v>
      </c>
    </row>
    <row r="401" spans="1:2" x14ac:dyDescent="0.2">
      <c r="A401">
        <v>85012</v>
      </c>
      <c r="B401">
        <v>23.22</v>
      </c>
    </row>
    <row r="402" spans="1:2" x14ac:dyDescent="0.2">
      <c r="A402">
        <v>85012</v>
      </c>
      <c r="B402">
        <v>11.38</v>
      </c>
    </row>
    <row r="403" spans="1:2" x14ac:dyDescent="0.2">
      <c r="A403">
        <v>85012</v>
      </c>
      <c r="B403">
        <v>27.48</v>
      </c>
    </row>
    <row r="404" spans="1:2" x14ac:dyDescent="0.2">
      <c r="A404">
        <v>85012</v>
      </c>
      <c r="B404">
        <v>51.27</v>
      </c>
    </row>
    <row r="405" spans="1:2" x14ac:dyDescent="0.2">
      <c r="A405">
        <v>85012</v>
      </c>
      <c r="B405">
        <v>17.84</v>
      </c>
    </row>
    <row r="406" spans="1:2" x14ac:dyDescent="0.2">
      <c r="A406">
        <v>85012</v>
      </c>
      <c r="B406">
        <v>25.51</v>
      </c>
    </row>
    <row r="407" spans="1:2" x14ac:dyDescent="0.2">
      <c r="A407">
        <v>85012</v>
      </c>
      <c r="B407">
        <v>32</v>
      </c>
    </row>
    <row r="408" spans="1:2" x14ac:dyDescent="0.2">
      <c r="A408">
        <v>85012</v>
      </c>
      <c r="B408">
        <v>50.66</v>
      </c>
    </row>
    <row r="409" spans="1:2" x14ac:dyDescent="0.2">
      <c r="A409">
        <v>85012</v>
      </c>
      <c r="B409">
        <v>31.53</v>
      </c>
    </row>
    <row r="410" spans="1:2" x14ac:dyDescent="0.2">
      <c r="A410">
        <v>85012</v>
      </c>
      <c r="B410">
        <v>27.65</v>
      </c>
    </row>
    <row r="411" spans="1:2" x14ac:dyDescent="0.2">
      <c r="A411">
        <v>85012</v>
      </c>
      <c r="B411">
        <v>20.309999999999999</v>
      </c>
    </row>
    <row r="412" spans="1:2" x14ac:dyDescent="0.2">
      <c r="A412">
        <v>85012</v>
      </c>
      <c r="B412">
        <v>19.670000000000002</v>
      </c>
    </row>
    <row r="413" spans="1:2" x14ac:dyDescent="0.2">
      <c r="A413">
        <v>85012</v>
      </c>
      <c r="B413">
        <v>14.86</v>
      </c>
    </row>
    <row r="414" spans="1:2" x14ac:dyDescent="0.2">
      <c r="A414">
        <v>85012</v>
      </c>
      <c r="B414">
        <v>29.29</v>
      </c>
    </row>
    <row r="415" spans="1:2" x14ac:dyDescent="0.2">
      <c r="A415">
        <v>85012</v>
      </c>
      <c r="B415">
        <v>23.95</v>
      </c>
    </row>
    <row r="416" spans="1:2" x14ac:dyDescent="0.2">
      <c r="A416">
        <v>85012</v>
      </c>
      <c r="B416">
        <v>19.89</v>
      </c>
    </row>
    <row r="417" spans="1:2" x14ac:dyDescent="0.2">
      <c r="A417">
        <v>85012</v>
      </c>
      <c r="B417">
        <v>37.880000000000003</v>
      </c>
    </row>
    <row r="418" spans="1:2" x14ac:dyDescent="0.2">
      <c r="A418">
        <v>86004</v>
      </c>
      <c r="B418">
        <v>7.33</v>
      </c>
    </row>
    <row r="419" spans="1:2" x14ac:dyDescent="0.2">
      <c r="A419">
        <v>86004</v>
      </c>
      <c r="B419">
        <v>24.69</v>
      </c>
    </row>
    <row r="420" spans="1:2" x14ac:dyDescent="0.2">
      <c r="A420">
        <v>86004</v>
      </c>
      <c r="B420">
        <v>31.24</v>
      </c>
    </row>
    <row r="421" spans="1:2" x14ac:dyDescent="0.2">
      <c r="A421">
        <v>86004</v>
      </c>
      <c r="B421">
        <v>19.46</v>
      </c>
    </row>
    <row r="422" spans="1:2" x14ac:dyDescent="0.2">
      <c r="A422">
        <v>86004</v>
      </c>
      <c r="B422">
        <v>25.77</v>
      </c>
    </row>
    <row r="423" spans="1:2" x14ac:dyDescent="0.2">
      <c r="A423">
        <v>86004</v>
      </c>
      <c r="B423">
        <v>33.64</v>
      </c>
    </row>
    <row r="424" spans="1:2" x14ac:dyDescent="0.2">
      <c r="A424">
        <v>86004</v>
      </c>
      <c r="B424">
        <v>28.99</v>
      </c>
    </row>
    <row r="425" spans="1:2" x14ac:dyDescent="0.2">
      <c r="A425">
        <v>86004</v>
      </c>
      <c r="B425">
        <v>13.43</v>
      </c>
    </row>
    <row r="426" spans="1:2" x14ac:dyDescent="0.2">
      <c r="A426">
        <v>86004</v>
      </c>
      <c r="B426">
        <v>44.3</v>
      </c>
    </row>
    <row r="427" spans="1:2" x14ac:dyDescent="0.2">
      <c r="A427">
        <v>86004</v>
      </c>
      <c r="B427">
        <v>26.57</v>
      </c>
    </row>
    <row r="428" spans="1:2" x14ac:dyDescent="0.2">
      <c r="A428">
        <v>86004</v>
      </c>
      <c r="B428">
        <v>20.170000000000002</v>
      </c>
    </row>
    <row r="429" spans="1:2" x14ac:dyDescent="0.2">
      <c r="A429">
        <v>86004</v>
      </c>
      <c r="B429">
        <v>30.34</v>
      </c>
    </row>
    <row r="430" spans="1:2" x14ac:dyDescent="0.2">
      <c r="A430">
        <v>86004</v>
      </c>
      <c r="B430">
        <v>49.94</v>
      </c>
    </row>
    <row r="431" spans="1:2" x14ac:dyDescent="0.2">
      <c r="A431">
        <v>86004</v>
      </c>
      <c r="B431">
        <v>24.55</v>
      </c>
    </row>
    <row r="432" spans="1:2" x14ac:dyDescent="0.2">
      <c r="A432">
        <v>86004</v>
      </c>
      <c r="B432">
        <v>20.67</v>
      </c>
    </row>
    <row r="433" spans="1:2" x14ac:dyDescent="0.2">
      <c r="A433">
        <v>86004</v>
      </c>
      <c r="B433">
        <v>37.450000000000003</v>
      </c>
    </row>
    <row r="434" spans="1:2" x14ac:dyDescent="0.2">
      <c r="A434">
        <v>86004</v>
      </c>
      <c r="B434">
        <v>22.94</v>
      </c>
    </row>
    <row r="435" spans="1:2" x14ac:dyDescent="0.2">
      <c r="A435">
        <v>86004</v>
      </c>
      <c r="B435">
        <v>40.97</v>
      </c>
    </row>
    <row r="436" spans="1:2" x14ac:dyDescent="0.2">
      <c r="A436">
        <v>86004</v>
      </c>
      <c r="B436">
        <v>10.83</v>
      </c>
    </row>
    <row r="437" spans="1:2" x14ac:dyDescent="0.2">
      <c r="A437">
        <v>86004</v>
      </c>
      <c r="B437">
        <v>31.68</v>
      </c>
    </row>
    <row r="438" spans="1:2" x14ac:dyDescent="0.2">
      <c r="A438">
        <v>86004</v>
      </c>
      <c r="B438">
        <v>25.69</v>
      </c>
    </row>
    <row r="439" spans="1:2" x14ac:dyDescent="0.2">
      <c r="A439">
        <v>86004</v>
      </c>
      <c r="B439">
        <v>18.05</v>
      </c>
    </row>
    <row r="440" spans="1:2" x14ac:dyDescent="0.2">
      <c r="A440">
        <v>86004</v>
      </c>
      <c r="B440">
        <v>25.12</v>
      </c>
    </row>
    <row r="441" spans="1:2" x14ac:dyDescent="0.2">
      <c r="A441">
        <v>86004</v>
      </c>
      <c r="B441">
        <v>40.61</v>
      </c>
    </row>
    <row r="442" spans="1:2" x14ac:dyDescent="0.2">
      <c r="A442">
        <v>86042</v>
      </c>
      <c r="B442">
        <v>7.94</v>
      </c>
    </row>
    <row r="443" spans="1:2" x14ac:dyDescent="0.2">
      <c r="A443">
        <v>86042</v>
      </c>
      <c r="B443">
        <v>25.48</v>
      </c>
    </row>
    <row r="444" spans="1:2" x14ac:dyDescent="0.2">
      <c r="A444">
        <v>86042</v>
      </c>
      <c r="B444">
        <v>19.43</v>
      </c>
    </row>
    <row r="445" spans="1:2" x14ac:dyDescent="0.2">
      <c r="A445">
        <v>86042</v>
      </c>
      <c r="B445">
        <v>26.37</v>
      </c>
    </row>
    <row r="446" spans="1:2" x14ac:dyDescent="0.2">
      <c r="A446">
        <v>86042</v>
      </c>
      <c r="B446">
        <v>19.53</v>
      </c>
    </row>
    <row r="447" spans="1:2" x14ac:dyDescent="0.2">
      <c r="A447">
        <v>86042</v>
      </c>
      <c r="B447">
        <v>42.28</v>
      </c>
    </row>
    <row r="448" spans="1:2" x14ac:dyDescent="0.2">
      <c r="A448">
        <v>86042</v>
      </c>
      <c r="B448">
        <v>29.64</v>
      </c>
    </row>
    <row r="449" spans="1:2" x14ac:dyDescent="0.2">
      <c r="A449">
        <v>86042</v>
      </c>
      <c r="B449">
        <v>30.13</v>
      </c>
    </row>
    <row r="450" spans="1:2" x14ac:dyDescent="0.2">
      <c r="A450">
        <v>86042</v>
      </c>
      <c r="B450">
        <v>33.24</v>
      </c>
    </row>
    <row r="451" spans="1:2" x14ac:dyDescent="0.2">
      <c r="A451">
        <v>86042</v>
      </c>
      <c r="B451">
        <v>17.45</v>
      </c>
    </row>
    <row r="452" spans="1:2" x14ac:dyDescent="0.2">
      <c r="A452">
        <v>86042</v>
      </c>
      <c r="B452">
        <v>41.39</v>
      </c>
    </row>
    <row r="453" spans="1:2" x14ac:dyDescent="0.2">
      <c r="A453">
        <v>86042</v>
      </c>
      <c r="B453">
        <v>28.46</v>
      </c>
    </row>
    <row r="454" spans="1:2" x14ac:dyDescent="0.2">
      <c r="A454">
        <v>86042</v>
      </c>
      <c r="B454">
        <v>30.08</v>
      </c>
    </row>
    <row r="455" spans="1:2" x14ac:dyDescent="0.2">
      <c r="A455">
        <v>86042</v>
      </c>
      <c r="B455">
        <v>53.1</v>
      </c>
    </row>
    <row r="456" spans="1:2" x14ac:dyDescent="0.2">
      <c r="A456">
        <v>86042</v>
      </c>
      <c r="B456">
        <v>19.86</v>
      </c>
    </row>
    <row r="457" spans="1:2" x14ac:dyDescent="0.2">
      <c r="A457">
        <v>86042</v>
      </c>
      <c r="B457">
        <v>27.55</v>
      </c>
    </row>
    <row r="458" spans="1:2" x14ac:dyDescent="0.2">
      <c r="A458">
        <v>86042</v>
      </c>
      <c r="B458">
        <v>30.16</v>
      </c>
    </row>
    <row r="459" spans="1:2" x14ac:dyDescent="0.2">
      <c r="A459">
        <v>86042</v>
      </c>
      <c r="B459">
        <v>40.31</v>
      </c>
    </row>
    <row r="460" spans="1:2" x14ac:dyDescent="0.2">
      <c r="A460">
        <v>86314</v>
      </c>
      <c r="B460">
        <v>4.18</v>
      </c>
    </row>
    <row r="461" spans="1:2" x14ac:dyDescent="0.2">
      <c r="A461">
        <v>86314</v>
      </c>
      <c r="B461">
        <v>26.48</v>
      </c>
    </row>
    <row r="462" spans="1:2" x14ac:dyDescent="0.2">
      <c r="A462">
        <v>86314</v>
      </c>
      <c r="B462">
        <v>44.33</v>
      </c>
    </row>
    <row r="463" spans="1:2" x14ac:dyDescent="0.2">
      <c r="A463">
        <v>86314</v>
      </c>
      <c r="B463">
        <v>23.75</v>
      </c>
    </row>
    <row r="464" spans="1:2" x14ac:dyDescent="0.2">
      <c r="A464">
        <v>86314</v>
      </c>
      <c r="B464">
        <v>31.44</v>
      </c>
    </row>
    <row r="465" spans="1:2" x14ac:dyDescent="0.2">
      <c r="A465">
        <v>86314</v>
      </c>
      <c r="B465">
        <v>40.97</v>
      </c>
    </row>
    <row r="466" spans="1:2" x14ac:dyDescent="0.2">
      <c r="A466">
        <v>86314</v>
      </c>
      <c r="B466">
        <v>25.65</v>
      </c>
    </row>
    <row r="467" spans="1:2" x14ac:dyDescent="0.2">
      <c r="A467">
        <v>86314</v>
      </c>
      <c r="B467">
        <v>43.57</v>
      </c>
    </row>
    <row r="468" spans="1:2" x14ac:dyDescent="0.2">
      <c r="A468">
        <v>86314</v>
      </c>
      <c r="B468">
        <v>26.58</v>
      </c>
    </row>
    <row r="469" spans="1:2" x14ac:dyDescent="0.2">
      <c r="A469">
        <v>86314</v>
      </c>
      <c r="B469">
        <v>19.32</v>
      </c>
    </row>
    <row r="470" spans="1:2" x14ac:dyDescent="0.2">
      <c r="A470">
        <v>86314</v>
      </c>
      <c r="B470">
        <v>26.92</v>
      </c>
    </row>
    <row r="471" spans="1:2" x14ac:dyDescent="0.2">
      <c r="A471">
        <v>86314</v>
      </c>
      <c r="B471">
        <v>16.3</v>
      </c>
    </row>
    <row r="472" spans="1:2" x14ac:dyDescent="0.2">
      <c r="A472">
        <v>86314</v>
      </c>
      <c r="B472">
        <v>51.48</v>
      </c>
    </row>
    <row r="473" spans="1:2" x14ac:dyDescent="0.2">
      <c r="A473">
        <v>86314</v>
      </c>
      <c r="B473">
        <v>33.07</v>
      </c>
    </row>
    <row r="474" spans="1:2" x14ac:dyDescent="0.2">
      <c r="A474">
        <v>86314</v>
      </c>
      <c r="B474">
        <v>24.78</v>
      </c>
    </row>
    <row r="475" spans="1:2" x14ac:dyDescent="0.2">
      <c r="A475">
        <v>86314</v>
      </c>
      <c r="B475">
        <v>41.85</v>
      </c>
    </row>
    <row r="476" spans="1:2" x14ac:dyDescent="0.2">
      <c r="A476">
        <v>86314</v>
      </c>
      <c r="B476">
        <v>25.73</v>
      </c>
    </row>
    <row r="477" spans="1:2" x14ac:dyDescent="0.2">
      <c r="A477">
        <v>86314</v>
      </c>
      <c r="B477">
        <v>23.64</v>
      </c>
    </row>
    <row r="478" spans="1:2" x14ac:dyDescent="0.2">
      <c r="A478">
        <v>86314</v>
      </c>
      <c r="B478">
        <v>46.34</v>
      </c>
    </row>
    <row r="479" spans="1:2" x14ac:dyDescent="0.2">
      <c r="A479">
        <v>86314</v>
      </c>
      <c r="B479">
        <v>27.53</v>
      </c>
    </row>
    <row r="480" spans="1:2" x14ac:dyDescent="0.2">
      <c r="A480">
        <v>86314</v>
      </c>
      <c r="B480">
        <v>30.63</v>
      </c>
    </row>
    <row r="481" spans="1:2" x14ac:dyDescent="0.2">
      <c r="A481">
        <v>86314</v>
      </c>
      <c r="B481">
        <v>27.11</v>
      </c>
    </row>
    <row r="482" spans="1:2" x14ac:dyDescent="0.2">
      <c r="A482">
        <v>86314</v>
      </c>
      <c r="B482">
        <v>24.97</v>
      </c>
    </row>
    <row r="483" spans="1:2" x14ac:dyDescent="0.2">
      <c r="A483">
        <v>86314</v>
      </c>
      <c r="B483">
        <v>20.350000000000001</v>
      </c>
    </row>
    <row r="484" spans="1:2" x14ac:dyDescent="0.2">
      <c r="A484">
        <v>86314</v>
      </c>
      <c r="B484">
        <v>31.46</v>
      </c>
    </row>
    <row r="485" spans="1:2" x14ac:dyDescent="0.2">
      <c r="A485">
        <v>86314</v>
      </c>
      <c r="B485">
        <v>13.61</v>
      </c>
    </row>
    <row r="486" spans="1:2" x14ac:dyDescent="0.2">
      <c r="A486">
        <v>86314</v>
      </c>
      <c r="B486">
        <v>36.630000000000003</v>
      </c>
    </row>
    <row r="487" spans="1:2" x14ac:dyDescent="0.2">
      <c r="A487">
        <v>86426</v>
      </c>
      <c r="B487">
        <v>11.07</v>
      </c>
    </row>
    <row r="488" spans="1:2" x14ac:dyDescent="0.2">
      <c r="A488">
        <v>86426</v>
      </c>
      <c r="B488">
        <v>32.549999999999997</v>
      </c>
    </row>
    <row r="489" spans="1:2" x14ac:dyDescent="0.2">
      <c r="A489">
        <v>86426</v>
      </c>
      <c r="B489">
        <v>41.43</v>
      </c>
    </row>
    <row r="490" spans="1:2" x14ac:dyDescent="0.2">
      <c r="A490">
        <v>86426</v>
      </c>
      <c r="B490">
        <v>27.47</v>
      </c>
    </row>
    <row r="491" spans="1:2" x14ac:dyDescent="0.2">
      <c r="A491">
        <v>86426</v>
      </c>
      <c r="B491">
        <v>24.84</v>
      </c>
    </row>
    <row r="492" spans="1:2" x14ac:dyDescent="0.2">
      <c r="A492">
        <v>86426</v>
      </c>
      <c r="B492">
        <v>20.350000000000001</v>
      </c>
    </row>
    <row r="493" spans="1:2" x14ac:dyDescent="0.2">
      <c r="A493">
        <v>86426</v>
      </c>
      <c r="B493">
        <v>26.43</v>
      </c>
    </row>
    <row r="494" spans="1:2" x14ac:dyDescent="0.2">
      <c r="A494">
        <v>86426</v>
      </c>
      <c r="B494">
        <v>18.37</v>
      </c>
    </row>
    <row r="495" spans="1:2" x14ac:dyDescent="0.2">
      <c r="A495">
        <v>86426</v>
      </c>
      <c r="B495">
        <v>24.91</v>
      </c>
    </row>
    <row r="496" spans="1:2" x14ac:dyDescent="0.2">
      <c r="A496">
        <v>86426</v>
      </c>
      <c r="B496">
        <v>31.24</v>
      </c>
    </row>
    <row r="497" spans="1:2" x14ac:dyDescent="0.2">
      <c r="A497">
        <v>86426</v>
      </c>
      <c r="B497">
        <v>45.78</v>
      </c>
    </row>
    <row r="498" spans="1:2" x14ac:dyDescent="0.2">
      <c r="A498">
        <v>86426</v>
      </c>
      <c r="B498">
        <v>30.14</v>
      </c>
    </row>
    <row r="499" spans="1:2" x14ac:dyDescent="0.2">
      <c r="A499">
        <v>86426</v>
      </c>
      <c r="B499">
        <v>54.84</v>
      </c>
    </row>
    <row r="500" spans="1:2" x14ac:dyDescent="0.2">
      <c r="A500">
        <v>86426</v>
      </c>
      <c r="B500">
        <v>23.57</v>
      </c>
    </row>
    <row r="501" spans="1:2" x14ac:dyDescent="0.2">
      <c r="A501">
        <v>86426</v>
      </c>
      <c r="B501">
        <v>17.46</v>
      </c>
    </row>
    <row r="502" spans="1:2" x14ac:dyDescent="0.2">
      <c r="A502">
        <v>86426</v>
      </c>
      <c r="B502">
        <v>42.87</v>
      </c>
    </row>
    <row r="503" spans="1:2" x14ac:dyDescent="0.2">
      <c r="A503">
        <v>86426</v>
      </c>
      <c r="B503">
        <v>33.53</v>
      </c>
    </row>
    <row r="504" spans="1:2" x14ac:dyDescent="0.2">
      <c r="A504">
        <v>86426</v>
      </c>
      <c r="B504">
        <v>27.45</v>
      </c>
    </row>
    <row r="505" spans="1:2" x14ac:dyDescent="0.2">
      <c r="A505">
        <v>86426</v>
      </c>
      <c r="B505">
        <v>30.64</v>
      </c>
    </row>
    <row r="506" spans="1:2" x14ac:dyDescent="0.2">
      <c r="A506">
        <v>86426</v>
      </c>
      <c r="B506">
        <v>25.58</v>
      </c>
    </row>
    <row r="507" spans="1:2" x14ac:dyDescent="0.2">
      <c r="A507">
        <v>86426</v>
      </c>
      <c r="B507">
        <v>27.99</v>
      </c>
    </row>
    <row r="508" spans="1:2" x14ac:dyDescent="0.2">
      <c r="A508">
        <v>86426</v>
      </c>
      <c r="B508">
        <v>20.440000000000001</v>
      </c>
    </row>
    <row r="509" spans="1:2" x14ac:dyDescent="0.2">
      <c r="A509">
        <v>86426</v>
      </c>
      <c r="B509">
        <v>19.16</v>
      </c>
    </row>
    <row r="510" spans="1:2" x14ac:dyDescent="0.2">
      <c r="A510">
        <v>86426</v>
      </c>
      <c r="B510">
        <v>33.31</v>
      </c>
    </row>
    <row r="511" spans="1:2" x14ac:dyDescent="0.2">
      <c r="A511">
        <v>86426</v>
      </c>
      <c r="B511">
        <v>29.65</v>
      </c>
    </row>
    <row r="512" spans="1:2" x14ac:dyDescent="0.2">
      <c r="A512">
        <v>86426</v>
      </c>
      <c r="B512">
        <v>21.98</v>
      </c>
    </row>
    <row r="513" spans="1:2" x14ac:dyDescent="0.2">
      <c r="A513">
        <v>89104</v>
      </c>
      <c r="B513">
        <v>35.19</v>
      </c>
    </row>
    <row r="514" spans="1:2" x14ac:dyDescent="0.2">
      <c r="A514">
        <v>89104</v>
      </c>
      <c r="B514">
        <v>24.57</v>
      </c>
    </row>
    <row r="515" spans="1:2" x14ac:dyDescent="0.2">
      <c r="A515">
        <v>89104</v>
      </c>
      <c r="B515">
        <v>43.32</v>
      </c>
    </row>
    <row r="516" spans="1:2" x14ac:dyDescent="0.2">
      <c r="A516">
        <v>89104</v>
      </c>
      <c r="B516">
        <v>31.76</v>
      </c>
    </row>
    <row r="517" spans="1:2" x14ac:dyDescent="0.2">
      <c r="A517">
        <v>89104</v>
      </c>
      <c r="B517">
        <v>26.59</v>
      </c>
    </row>
    <row r="518" spans="1:2" x14ac:dyDescent="0.2">
      <c r="A518">
        <v>89104</v>
      </c>
      <c r="B518">
        <v>21.64</v>
      </c>
    </row>
    <row r="519" spans="1:2" x14ac:dyDescent="0.2">
      <c r="A519">
        <v>89104</v>
      </c>
      <c r="B519">
        <v>27.19</v>
      </c>
    </row>
    <row r="520" spans="1:2" x14ac:dyDescent="0.2">
      <c r="A520">
        <v>89104</v>
      </c>
      <c r="B520">
        <v>16.329999999999998</v>
      </c>
    </row>
    <row r="521" spans="1:2" x14ac:dyDescent="0.2">
      <c r="A521">
        <v>89104</v>
      </c>
      <c r="B521">
        <v>37.82</v>
      </c>
    </row>
    <row r="522" spans="1:2" x14ac:dyDescent="0.2">
      <c r="A522">
        <v>89104</v>
      </c>
      <c r="B522">
        <v>27.96</v>
      </c>
    </row>
    <row r="523" spans="1:2" x14ac:dyDescent="0.2">
      <c r="A523">
        <v>89104</v>
      </c>
      <c r="B523">
        <v>46.37</v>
      </c>
    </row>
    <row r="524" spans="1:2" x14ac:dyDescent="0.2">
      <c r="A524">
        <v>89104</v>
      </c>
      <c r="B524">
        <v>50.73</v>
      </c>
    </row>
    <row r="525" spans="1:2" x14ac:dyDescent="0.2">
      <c r="A525">
        <v>89104</v>
      </c>
      <c r="B525">
        <v>25.84</v>
      </c>
    </row>
    <row r="526" spans="1:2" x14ac:dyDescent="0.2">
      <c r="A526">
        <v>89104</v>
      </c>
      <c r="B526">
        <v>26.46</v>
      </c>
    </row>
    <row r="527" spans="1:2" x14ac:dyDescent="0.2">
      <c r="A527">
        <v>89104</v>
      </c>
      <c r="B527">
        <v>30.47</v>
      </c>
    </row>
    <row r="528" spans="1:2" x14ac:dyDescent="0.2">
      <c r="A528">
        <v>89104</v>
      </c>
      <c r="B528">
        <v>27.84</v>
      </c>
    </row>
    <row r="529" spans="1:2" x14ac:dyDescent="0.2">
      <c r="A529">
        <v>89104</v>
      </c>
      <c r="B529">
        <v>25.49</v>
      </c>
    </row>
    <row r="530" spans="1:2" x14ac:dyDescent="0.2">
      <c r="A530">
        <v>89104</v>
      </c>
      <c r="B530">
        <v>33.61</v>
      </c>
    </row>
    <row r="531" spans="1:2" x14ac:dyDescent="0.2">
      <c r="A531">
        <v>89104</v>
      </c>
      <c r="B531">
        <v>18.760000000000002</v>
      </c>
    </row>
    <row r="532" spans="1:2" x14ac:dyDescent="0.2">
      <c r="A532">
        <v>89104</v>
      </c>
      <c r="B532">
        <v>32.07</v>
      </c>
    </row>
    <row r="533" spans="1:2" x14ac:dyDescent="0.2">
      <c r="A533">
        <v>89104</v>
      </c>
      <c r="B533">
        <v>46.41</v>
      </c>
    </row>
    <row r="534" spans="1:2" x14ac:dyDescent="0.2">
      <c r="A534">
        <v>89104</v>
      </c>
      <c r="B534">
        <v>27.4</v>
      </c>
    </row>
    <row r="535" spans="1:2" x14ac:dyDescent="0.2">
      <c r="A535">
        <v>89104</v>
      </c>
      <c r="B535">
        <v>20.55</v>
      </c>
    </row>
    <row r="536" spans="1:2" x14ac:dyDescent="0.2">
      <c r="A536">
        <v>89104</v>
      </c>
      <c r="B536">
        <v>18.940000000000001</v>
      </c>
    </row>
    <row r="537" spans="1:2" x14ac:dyDescent="0.2">
      <c r="A537">
        <v>89104</v>
      </c>
      <c r="B537">
        <v>49.16</v>
      </c>
    </row>
    <row r="538" spans="1:2" x14ac:dyDescent="0.2">
      <c r="A538">
        <v>89104</v>
      </c>
      <c r="B538">
        <v>29.37</v>
      </c>
    </row>
    <row r="539" spans="1:2" x14ac:dyDescent="0.2">
      <c r="A539">
        <v>89104</v>
      </c>
      <c r="B539">
        <v>45.67</v>
      </c>
    </row>
    <row r="540" spans="1:2" x14ac:dyDescent="0.2">
      <c r="A540">
        <v>89104</v>
      </c>
      <c r="B540">
        <v>13.43</v>
      </c>
    </row>
    <row r="541" spans="1:2" x14ac:dyDescent="0.2">
      <c r="A541">
        <v>89104</v>
      </c>
      <c r="B541">
        <v>26.47</v>
      </c>
    </row>
    <row r="542" spans="1:2" x14ac:dyDescent="0.2">
      <c r="A542">
        <v>89104</v>
      </c>
      <c r="B542">
        <v>9.8699999999999992</v>
      </c>
    </row>
    <row r="543" spans="1:2" x14ac:dyDescent="0.2">
      <c r="A543">
        <v>89104</v>
      </c>
      <c r="B543">
        <v>44.38</v>
      </c>
    </row>
    <row r="544" spans="1:2" x14ac:dyDescent="0.2">
      <c r="A544">
        <v>89104</v>
      </c>
      <c r="B544">
        <v>19.79</v>
      </c>
    </row>
    <row r="545" spans="1:2" x14ac:dyDescent="0.2">
      <c r="A545">
        <v>89104</v>
      </c>
      <c r="B545">
        <v>21.35</v>
      </c>
    </row>
    <row r="546" spans="1:2" x14ac:dyDescent="0.2">
      <c r="A546">
        <v>89104</v>
      </c>
      <c r="B546">
        <v>51.17</v>
      </c>
    </row>
    <row r="547" spans="1:2" x14ac:dyDescent="0.2">
      <c r="A547">
        <v>89408</v>
      </c>
      <c r="B547">
        <v>2.52</v>
      </c>
    </row>
    <row r="548" spans="1:2" x14ac:dyDescent="0.2">
      <c r="A548">
        <v>89408</v>
      </c>
      <c r="B548">
        <v>34.78</v>
      </c>
    </row>
    <row r="549" spans="1:2" x14ac:dyDescent="0.2">
      <c r="A549">
        <v>89408</v>
      </c>
      <c r="B549">
        <v>26.49</v>
      </c>
    </row>
    <row r="550" spans="1:2" x14ac:dyDescent="0.2">
      <c r="A550">
        <v>89408</v>
      </c>
      <c r="B550">
        <v>37.44</v>
      </c>
    </row>
    <row r="551" spans="1:2" x14ac:dyDescent="0.2">
      <c r="A551">
        <v>89408</v>
      </c>
      <c r="B551">
        <v>20.190000000000001</v>
      </c>
    </row>
    <row r="552" spans="1:2" x14ac:dyDescent="0.2">
      <c r="A552">
        <v>89408</v>
      </c>
      <c r="B552">
        <v>27.48</v>
      </c>
    </row>
    <row r="553" spans="1:2" x14ac:dyDescent="0.2">
      <c r="A553">
        <v>89408</v>
      </c>
      <c r="B553">
        <v>40.659999999999997</v>
      </c>
    </row>
    <row r="554" spans="1:2" x14ac:dyDescent="0.2">
      <c r="A554">
        <v>89408</v>
      </c>
      <c r="B554">
        <v>12.34</v>
      </c>
    </row>
    <row r="555" spans="1:2" x14ac:dyDescent="0.2">
      <c r="A555">
        <v>89408</v>
      </c>
      <c r="B555">
        <v>29.86</v>
      </c>
    </row>
    <row r="556" spans="1:2" x14ac:dyDescent="0.2">
      <c r="A556">
        <v>89408</v>
      </c>
      <c r="B556">
        <v>52.67</v>
      </c>
    </row>
    <row r="557" spans="1:2" x14ac:dyDescent="0.2">
      <c r="A557">
        <v>89408</v>
      </c>
      <c r="B557">
        <v>26.48</v>
      </c>
    </row>
    <row r="558" spans="1:2" x14ac:dyDescent="0.2">
      <c r="A558">
        <v>89408</v>
      </c>
      <c r="B558">
        <v>33.9</v>
      </c>
    </row>
    <row r="559" spans="1:2" x14ac:dyDescent="0.2">
      <c r="A559">
        <v>89408</v>
      </c>
      <c r="B559">
        <v>27.15</v>
      </c>
    </row>
    <row r="560" spans="1:2" x14ac:dyDescent="0.2">
      <c r="A560">
        <v>89408</v>
      </c>
      <c r="B560">
        <v>34.840000000000003</v>
      </c>
    </row>
    <row r="561" spans="1:2" x14ac:dyDescent="0.2">
      <c r="A561">
        <v>89408</v>
      </c>
      <c r="B561">
        <v>24.55</v>
      </c>
    </row>
    <row r="562" spans="1:2" x14ac:dyDescent="0.2">
      <c r="A562">
        <v>89408</v>
      </c>
      <c r="B562">
        <v>45.76</v>
      </c>
    </row>
    <row r="563" spans="1:2" x14ac:dyDescent="0.2">
      <c r="A563">
        <v>89408</v>
      </c>
      <c r="B563">
        <v>20.54</v>
      </c>
    </row>
    <row r="564" spans="1:2" x14ac:dyDescent="0.2">
      <c r="A564">
        <v>89408</v>
      </c>
      <c r="B564">
        <v>29.62</v>
      </c>
    </row>
    <row r="565" spans="1:2" x14ac:dyDescent="0.2">
      <c r="A565">
        <v>89408</v>
      </c>
      <c r="B565">
        <v>38.17</v>
      </c>
    </row>
    <row r="566" spans="1:2" x14ac:dyDescent="0.2">
      <c r="A566">
        <v>89408</v>
      </c>
      <c r="B566">
        <v>19.34</v>
      </c>
    </row>
    <row r="567" spans="1:2" x14ac:dyDescent="0.2">
      <c r="A567">
        <v>89408</v>
      </c>
      <c r="B567">
        <v>52.82</v>
      </c>
    </row>
    <row r="568" spans="1:2" x14ac:dyDescent="0.2">
      <c r="A568">
        <v>89408</v>
      </c>
      <c r="B568">
        <v>26.48</v>
      </c>
    </row>
    <row r="569" spans="1:2" x14ac:dyDescent="0.2">
      <c r="A569">
        <v>89509</v>
      </c>
      <c r="B569">
        <v>5.0999999999999996</v>
      </c>
    </row>
    <row r="570" spans="1:2" x14ac:dyDescent="0.2">
      <c r="A570">
        <v>89509</v>
      </c>
      <c r="B570">
        <v>18.489999999999998</v>
      </c>
    </row>
    <row r="571" spans="1:2" x14ac:dyDescent="0.2">
      <c r="A571">
        <v>89509</v>
      </c>
      <c r="B571">
        <v>23.54</v>
      </c>
    </row>
    <row r="572" spans="1:2" x14ac:dyDescent="0.2">
      <c r="A572">
        <v>89509</v>
      </c>
      <c r="B572">
        <v>28.57</v>
      </c>
    </row>
    <row r="573" spans="1:2" x14ac:dyDescent="0.2">
      <c r="A573">
        <v>89509</v>
      </c>
      <c r="B573">
        <v>39.22</v>
      </c>
    </row>
    <row r="574" spans="1:2" x14ac:dyDescent="0.2">
      <c r="A574">
        <v>89509</v>
      </c>
      <c r="B574">
        <v>30.67</v>
      </c>
    </row>
    <row r="575" spans="1:2" x14ac:dyDescent="0.2">
      <c r="A575">
        <v>89509</v>
      </c>
      <c r="B575">
        <v>28.69</v>
      </c>
    </row>
    <row r="576" spans="1:2" x14ac:dyDescent="0.2">
      <c r="A576">
        <v>89509</v>
      </c>
      <c r="B576">
        <v>24.61</v>
      </c>
    </row>
    <row r="577" spans="1:2" x14ac:dyDescent="0.2">
      <c r="A577">
        <v>89509</v>
      </c>
      <c r="B577">
        <v>43.03</v>
      </c>
    </row>
    <row r="578" spans="1:2" x14ac:dyDescent="0.2">
      <c r="A578">
        <v>89509</v>
      </c>
      <c r="B578">
        <v>25.92</v>
      </c>
    </row>
    <row r="579" spans="1:2" x14ac:dyDescent="0.2">
      <c r="A579">
        <v>89509</v>
      </c>
      <c r="B579">
        <v>18.43</v>
      </c>
    </row>
    <row r="580" spans="1:2" x14ac:dyDescent="0.2">
      <c r="A580">
        <v>89509</v>
      </c>
      <c r="B580">
        <v>27.61</v>
      </c>
    </row>
    <row r="581" spans="1:2" x14ac:dyDescent="0.2">
      <c r="A581">
        <v>89509</v>
      </c>
      <c r="B581">
        <v>45.63</v>
      </c>
    </row>
    <row r="582" spans="1:2" x14ac:dyDescent="0.2">
      <c r="A582">
        <v>89509</v>
      </c>
      <c r="B582">
        <v>35.72</v>
      </c>
    </row>
    <row r="583" spans="1:2" x14ac:dyDescent="0.2">
      <c r="A583">
        <v>89509</v>
      </c>
      <c r="B583">
        <v>51.56</v>
      </c>
    </row>
    <row r="584" spans="1:2" x14ac:dyDescent="0.2">
      <c r="A584">
        <v>89509</v>
      </c>
      <c r="B584">
        <v>20.09</v>
      </c>
    </row>
    <row r="585" spans="1:2" x14ac:dyDescent="0.2">
      <c r="A585">
        <v>89509</v>
      </c>
      <c r="B585">
        <v>6.49</v>
      </c>
    </row>
    <row r="586" spans="1:2" x14ac:dyDescent="0.2">
      <c r="A586">
        <v>89509</v>
      </c>
      <c r="B586">
        <v>20.57</v>
      </c>
    </row>
    <row r="587" spans="1:2" x14ac:dyDescent="0.2">
      <c r="A587">
        <v>89509</v>
      </c>
      <c r="B587">
        <v>37.86</v>
      </c>
    </row>
    <row r="588" spans="1:2" x14ac:dyDescent="0.2">
      <c r="A588">
        <v>89509</v>
      </c>
      <c r="B588">
        <v>34.020000000000003</v>
      </c>
    </row>
    <row r="589" spans="1:2" x14ac:dyDescent="0.2">
      <c r="A589">
        <v>89509</v>
      </c>
      <c r="B589">
        <v>46.15</v>
      </c>
    </row>
    <row r="590" spans="1:2" x14ac:dyDescent="0.2">
      <c r="A590">
        <v>89509</v>
      </c>
      <c r="B590">
        <v>27.46</v>
      </c>
    </row>
    <row r="591" spans="1:2" x14ac:dyDescent="0.2">
      <c r="A591">
        <v>89509</v>
      </c>
      <c r="B591">
        <v>50.31</v>
      </c>
    </row>
    <row r="592" spans="1:2" x14ac:dyDescent="0.2">
      <c r="A592">
        <v>89509</v>
      </c>
      <c r="B592">
        <v>17.829999999999998</v>
      </c>
    </row>
    <row r="593" spans="1:2" x14ac:dyDescent="0.2">
      <c r="A593">
        <v>89822</v>
      </c>
      <c r="B593">
        <v>12.12</v>
      </c>
    </row>
    <row r="594" spans="1:2" x14ac:dyDescent="0.2">
      <c r="A594">
        <v>89822</v>
      </c>
      <c r="B594">
        <v>26.55</v>
      </c>
    </row>
    <row r="595" spans="1:2" x14ac:dyDescent="0.2">
      <c r="A595">
        <v>89822</v>
      </c>
      <c r="B595">
        <v>43.17</v>
      </c>
    </row>
    <row r="596" spans="1:2" x14ac:dyDescent="0.2">
      <c r="A596">
        <v>89822</v>
      </c>
      <c r="B596">
        <v>23.02</v>
      </c>
    </row>
    <row r="597" spans="1:2" x14ac:dyDescent="0.2">
      <c r="A597">
        <v>89822</v>
      </c>
      <c r="B597">
        <v>19.670000000000002</v>
      </c>
    </row>
    <row r="598" spans="1:2" x14ac:dyDescent="0.2">
      <c r="A598">
        <v>89822</v>
      </c>
      <c r="B598">
        <v>28.45</v>
      </c>
    </row>
    <row r="599" spans="1:2" x14ac:dyDescent="0.2">
      <c r="A599">
        <v>89822</v>
      </c>
      <c r="B599">
        <v>31.06</v>
      </c>
    </row>
    <row r="600" spans="1:2" x14ac:dyDescent="0.2">
      <c r="A600">
        <v>89822</v>
      </c>
      <c r="B600">
        <v>17.399999999999999</v>
      </c>
    </row>
    <row r="601" spans="1:2" x14ac:dyDescent="0.2">
      <c r="A601">
        <v>89822</v>
      </c>
      <c r="B601">
        <v>26.58</v>
      </c>
    </row>
    <row r="602" spans="1:2" x14ac:dyDescent="0.2">
      <c r="A602">
        <v>89822</v>
      </c>
      <c r="B602">
        <v>29.43</v>
      </c>
    </row>
    <row r="603" spans="1:2" x14ac:dyDescent="0.2">
      <c r="A603">
        <v>89822</v>
      </c>
      <c r="B603">
        <v>37.61</v>
      </c>
    </row>
    <row r="604" spans="1:2" x14ac:dyDescent="0.2">
      <c r="A604">
        <v>89822</v>
      </c>
      <c r="B604">
        <v>50.78</v>
      </c>
    </row>
    <row r="605" spans="1:2" x14ac:dyDescent="0.2">
      <c r="A605">
        <v>89822</v>
      </c>
      <c r="B605">
        <v>26.51</v>
      </c>
    </row>
    <row r="606" spans="1:2" x14ac:dyDescent="0.2">
      <c r="A606">
        <v>89822</v>
      </c>
      <c r="B606">
        <v>31.72</v>
      </c>
    </row>
    <row r="607" spans="1:2" x14ac:dyDescent="0.2">
      <c r="A607">
        <v>89822</v>
      </c>
      <c r="B607">
        <v>45.5</v>
      </c>
    </row>
    <row r="608" spans="1:2" x14ac:dyDescent="0.2">
      <c r="A608">
        <v>90061</v>
      </c>
      <c r="B608">
        <v>5.26</v>
      </c>
    </row>
    <row r="609" spans="1:2" x14ac:dyDescent="0.2">
      <c r="A609">
        <v>90061</v>
      </c>
      <c r="B609">
        <v>52.37</v>
      </c>
    </row>
    <row r="610" spans="1:2" x14ac:dyDescent="0.2">
      <c r="A610">
        <v>90061</v>
      </c>
      <c r="B610">
        <v>34.61</v>
      </c>
    </row>
    <row r="611" spans="1:2" x14ac:dyDescent="0.2">
      <c r="A611">
        <v>90061</v>
      </c>
      <c r="B611">
        <v>21.57</v>
      </c>
    </row>
    <row r="612" spans="1:2" x14ac:dyDescent="0.2">
      <c r="A612">
        <v>90061</v>
      </c>
      <c r="B612">
        <v>26.53</v>
      </c>
    </row>
    <row r="613" spans="1:2" x14ac:dyDescent="0.2">
      <c r="A613">
        <v>90061</v>
      </c>
      <c r="B613">
        <v>16.3</v>
      </c>
    </row>
    <row r="614" spans="1:2" x14ac:dyDescent="0.2">
      <c r="A614">
        <v>90061</v>
      </c>
      <c r="B614">
        <v>28.97</v>
      </c>
    </row>
    <row r="615" spans="1:2" x14ac:dyDescent="0.2">
      <c r="A615">
        <v>90061</v>
      </c>
      <c r="B615">
        <v>24.11</v>
      </c>
    </row>
    <row r="616" spans="1:2" x14ac:dyDescent="0.2">
      <c r="A616">
        <v>90061</v>
      </c>
      <c r="B616">
        <v>47.34</v>
      </c>
    </row>
    <row r="617" spans="1:2" x14ac:dyDescent="0.2">
      <c r="A617">
        <v>90061</v>
      </c>
      <c r="B617">
        <v>38.01</v>
      </c>
    </row>
    <row r="618" spans="1:2" x14ac:dyDescent="0.2">
      <c r="A618">
        <v>90061</v>
      </c>
      <c r="B618">
        <v>24.54</v>
      </c>
    </row>
    <row r="619" spans="1:2" x14ac:dyDescent="0.2">
      <c r="A619">
        <v>90061</v>
      </c>
      <c r="B619">
        <v>22.29</v>
      </c>
    </row>
    <row r="620" spans="1:2" x14ac:dyDescent="0.2">
      <c r="A620">
        <v>90061</v>
      </c>
      <c r="B620">
        <v>39.18</v>
      </c>
    </row>
    <row r="621" spans="1:2" x14ac:dyDescent="0.2">
      <c r="A621">
        <v>90061</v>
      </c>
      <c r="B621">
        <v>30.64</v>
      </c>
    </row>
    <row r="622" spans="1:2" x14ac:dyDescent="0.2">
      <c r="A622">
        <v>90061</v>
      </c>
      <c r="B622">
        <v>16.34</v>
      </c>
    </row>
    <row r="623" spans="1:2" x14ac:dyDescent="0.2">
      <c r="A623">
        <v>90061</v>
      </c>
      <c r="B623">
        <v>27.41</v>
      </c>
    </row>
    <row r="624" spans="1:2" x14ac:dyDescent="0.2">
      <c r="A624">
        <v>90061</v>
      </c>
      <c r="B624">
        <v>28.57</v>
      </c>
    </row>
    <row r="625" spans="1:2" x14ac:dyDescent="0.2">
      <c r="A625">
        <v>90061</v>
      </c>
      <c r="B625">
        <v>5.26</v>
      </c>
    </row>
    <row r="626" spans="1:2" x14ac:dyDescent="0.2">
      <c r="A626">
        <v>90061</v>
      </c>
      <c r="B626">
        <v>42.27</v>
      </c>
    </row>
    <row r="627" spans="1:2" x14ac:dyDescent="0.2">
      <c r="A627">
        <v>90061</v>
      </c>
      <c r="B627">
        <v>28.04</v>
      </c>
    </row>
    <row r="628" spans="1:2" x14ac:dyDescent="0.2">
      <c r="A628">
        <v>90061</v>
      </c>
      <c r="B628">
        <v>24.79</v>
      </c>
    </row>
    <row r="629" spans="1:2" x14ac:dyDescent="0.2">
      <c r="A629">
        <v>90061</v>
      </c>
      <c r="B629">
        <v>11.76</v>
      </c>
    </row>
    <row r="630" spans="1:2" x14ac:dyDescent="0.2">
      <c r="A630">
        <v>90061</v>
      </c>
      <c r="B630">
        <v>45.88</v>
      </c>
    </row>
    <row r="631" spans="1:2" x14ac:dyDescent="0.2">
      <c r="A631">
        <v>90061</v>
      </c>
      <c r="B631">
        <v>23.45</v>
      </c>
    </row>
    <row r="632" spans="1:2" x14ac:dyDescent="0.2">
      <c r="A632">
        <v>90061</v>
      </c>
      <c r="B632">
        <v>15.81</v>
      </c>
    </row>
    <row r="633" spans="1:2" x14ac:dyDescent="0.2">
      <c r="A633">
        <v>90061</v>
      </c>
      <c r="B633">
        <v>29.83</v>
      </c>
    </row>
    <row r="634" spans="1:2" x14ac:dyDescent="0.2">
      <c r="A634">
        <v>90061</v>
      </c>
      <c r="B634">
        <v>40.46</v>
      </c>
    </row>
    <row r="635" spans="1:2" x14ac:dyDescent="0.2">
      <c r="A635">
        <v>90061</v>
      </c>
      <c r="B635">
        <v>18.45</v>
      </c>
    </row>
    <row r="636" spans="1:2" x14ac:dyDescent="0.2">
      <c r="A636">
        <v>90061</v>
      </c>
      <c r="B636">
        <v>50.23</v>
      </c>
    </row>
    <row r="637" spans="1:2" x14ac:dyDescent="0.2">
      <c r="A637">
        <v>90061</v>
      </c>
      <c r="B637">
        <v>24.93</v>
      </c>
    </row>
    <row r="638" spans="1:2" x14ac:dyDescent="0.2">
      <c r="A638">
        <v>90061</v>
      </c>
      <c r="B638">
        <v>31.77</v>
      </c>
    </row>
    <row r="639" spans="1:2" x14ac:dyDescent="0.2">
      <c r="A639">
        <v>90061</v>
      </c>
      <c r="B639">
        <v>21.15</v>
      </c>
    </row>
    <row r="640" spans="1:2" x14ac:dyDescent="0.2">
      <c r="A640">
        <v>90061</v>
      </c>
      <c r="B640">
        <v>39.57</v>
      </c>
    </row>
    <row r="641" spans="1:2" x14ac:dyDescent="0.2">
      <c r="A641">
        <v>90061</v>
      </c>
      <c r="B641">
        <v>20.96</v>
      </c>
    </row>
    <row r="642" spans="1:2" x14ac:dyDescent="0.2">
      <c r="A642">
        <v>90061</v>
      </c>
      <c r="B642">
        <v>23.88</v>
      </c>
    </row>
    <row r="643" spans="1:2" x14ac:dyDescent="0.2">
      <c r="A643">
        <v>90061</v>
      </c>
      <c r="B643">
        <v>24.58</v>
      </c>
    </row>
    <row r="644" spans="1:2" x14ac:dyDescent="0.2">
      <c r="A644">
        <v>90061</v>
      </c>
      <c r="B644">
        <v>48.29</v>
      </c>
    </row>
    <row r="645" spans="1:2" x14ac:dyDescent="0.2">
      <c r="A645">
        <v>90061</v>
      </c>
      <c r="B645">
        <v>50.89</v>
      </c>
    </row>
    <row r="646" spans="1:2" x14ac:dyDescent="0.2">
      <c r="A646">
        <v>93030</v>
      </c>
      <c r="B646">
        <v>35.26</v>
      </c>
    </row>
    <row r="647" spans="1:2" x14ac:dyDescent="0.2">
      <c r="A647">
        <v>93030</v>
      </c>
      <c r="B647">
        <v>21.42</v>
      </c>
    </row>
    <row r="648" spans="1:2" x14ac:dyDescent="0.2">
      <c r="A648">
        <v>93030</v>
      </c>
      <c r="B648">
        <v>40.58</v>
      </c>
    </row>
    <row r="649" spans="1:2" x14ac:dyDescent="0.2">
      <c r="A649">
        <v>93030</v>
      </c>
      <c r="B649">
        <v>26.77</v>
      </c>
    </row>
    <row r="650" spans="1:2" x14ac:dyDescent="0.2">
      <c r="A650">
        <v>93030</v>
      </c>
      <c r="B650">
        <v>29.63</v>
      </c>
    </row>
    <row r="651" spans="1:2" x14ac:dyDescent="0.2">
      <c r="A651">
        <v>93030</v>
      </c>
      <c r="B651">
        <v>32.159999999999997</v>
      </c>
    </row>
    <row r="652" spans="1:2" x14ac:dyDescent="0.2">
      <c r="A652">
        <v>93030</v>
      </c>
      <c r="B652">
        <v>18.43</v>
      </c>
    </row>
    <row r="653" spans="1:2" x14ac:dyDescent="0.2">
      <c r="A653">
        <v>93030</v>
      </c>
      <c r="B653">
        <v>27.86</v>
      </c>
    </row>
    <row r="654" spans="1:2" x14ac:dyDescent="0.2">
      <c r="A654">
        <v>93030</v>
      </c>
      <c r="B654">
        <v>20.239999999999998</v>
      </c>
    </row>
    <row r="655" spans="1:2" x14ac:dyDescent="0.2">
      <c r="A655">
        <v>93030</v>
      </c>
      <c r="B655">
        <v>43.82</v>
      </c>
    </row>
    <row r="656" spans="1:2" x14ac:dyDescent="0.2">
      <c r="A656">
        <v>93030</v>
      </c>
      <c r="B656">
        <v>27.76</v>
      </c>
    </row>
    <row r="657" spans="1:2" x14ac:dyDescent="0.2">
      <c r="A657">
        <v>93030</v>
      </c>
      <c r="B657">
        <v>35.67</v>
      </c>
    </row>
    <row r="658" spans="1:2" x14ac:dyDescent="0.2">
      <c r="A658">
        <v>93030</v>
      </c>
      <c r="B658">
        <v>21.68</v>
      </c>
    </row>
    <row r="659" spans="1:2" x14ac:dyDescent="0.2">
      <c r="A659">
        <v>93030</v>
      </c>
      <c r="B659">
        <v>4.24</v>
      </c>
    </row>
    <row r="660" spans="1:2" x14ac:dyDescent="0.2">
      <c r="A660">
        <v>93030</v>
      </c>
      <c r="B660">
        <v>23.74</v>
      </c>
    </row>
    <row r="661" spans="1:2" x14ac:dyDescent="0.2">
      <c r="A661">
        <v>93030</v>
      </c>
      <c r="B661">
        <v>39.729999999999997</v>
      </c>
    </row>
    <row r="662" spans="1:2" x14ac:dyDescent="0.2">
      <c r="A662">
        <v>93030</v>
      </c>
      <c r="B662">
        <v>30.83</v>
      </c>
    </row>
    <row r="663" spans="1:2" x14ac:dyDescent="0.2">
      <c r="A663">
        <v>93030</v>
      </c>
      <c r="B663">
        <v>14.67</v>
      </c>
    </row>
    <row r="664" spans="1:2" x14ac:dyDescent="0.2">
      <c r="A664">
        <v>93030</v>
      </c>
      <c r="B664">
        <v>45.55</v>
      </c>
    </row>
    <row r="665" spans="1:2" x14ac:dyDescent="0.2">
      <c r="A665">
        <v>93030</v>
      </c>
      <c r="B665">
        <v>20.420000000000002</v>
      </c>
    </row>
    <row r="666" spans="1:2" x14ac:dyDescent="0.2">
      <c r="A666">
        <v>93030</v>
      </c>
      <c r="B666">
        <v>41.61</v>
      </c>
    </row>
    <row r="667" spans="1:2" x14ac:dyDescent="0.2">
      <c r="A667">
        <v>93030</v>
      </c>
      <c r="B667">
        <v>27.64</v>
      </c>
    </row>
    <row r="668" spans="1:2" x14ac:dyDescent="0.2">
      <c r="A668">
        <v>93030</v>
      </c>
      <c r="B668">
        <v>13.05</v>
      </c>
    </row>
    <row r="669" spans="1:2" x14ac:dyDescent="0.2">
      <c r="A669">
        <v>93030</v>
      </c>
      <c r="B669">
        <v>23.11</v>
      </c>
    </row>
    <row r="670" spans="1:2" x14ac:dyDescent="0.2">
      <c r="A670">
        <v>93030</v>
      </c>
      <c r="B670">
        <v>50.5</v>
      </c>
    </row>
    <row r="671" spans="1:2" x14ac:dyDescent="0.2">
      <c r="A671">
        <v>93427</v>
      </c>
      <c r="B671">
        <v>18.41</v>
      </c>
    </row>
    <row r="672" spans="1:2" x14ac:dyDescent="0.2">
      <c r="A672">
        <v>93427</v>
      </c>
      <c r="B672">
        <v>26.55</v>
      </c>
    </row>
    <row r="673" spans="1:2" x14ac:dyDescent="0.2">
      <c r="A673">
        <v>93427</v>
      </c>
      <c r="B673">
        <v>30.57</v>
      </c>
    </row>
    <row r="674" spans="1:2" x14ac:dyDescent="0.2">
      <c r="A674">
        <v>93427</v>
      </c>
      <c r="B674">
        <v>21.37</v>
      </c>
    </row>
    <row r="675" spans="1:2" x14ac:dyDescent="0.2">
      <c r="A675">
        <v>93427</v>
      </c>
      <c r="B675">
        <v>28.43</v>
      </c>
    </row>
    <row r="676" spans="1:2" x14ac:dyDescent="0.2">
      <c r="A676">
        <v>93427</v>
      </c>
      <c r="B676">
        <v>45.63</v>
      </c>
    </row>
    <row r="677" spans="1:2" x14ac:dyDescent="0.2">
      <c r="A677">
        <v>93427</v>
      </c>
      <c r="B677">
        <v>30.05</v>
      </c>
    </row>
    <row r="678" spans="1:2" x14ac:dyDescent="0.2">
      <c r="A678">
        <v>93427</v>
      </c>
      <c r="B678">
        <v>17.43</v>
      </c>
    </row>
    <row r="679" spans="1:2" x14ac:dyDescent="0.2">
      <c r="A679">
        <v>93427</v>
      </c>
      <c r="B679">
        <v>48.59</v>
      </c>
    </row>
    <row r="680" spans="1:2" x14ac:dyDescent="0.2">
      <c r="A680">
        <v>93427</v>
      </c>
      <c r="B680">
        <v>37.64</v>
      </c>
    </row>
    <row r="681" spans="1:2" x14ac:dyDescent="0.2">
      <c r="A681">
        <v>93427</v>
      </c>
      <c r="B681">
        <v>29.3</v>
      </c>
    </row>
    <row r="682" spans="1:2" x14ac:dyDescent="0.2">
      <c r="A682">
        <v>93427</v>
      </c>
      <c r="B682">
        <v>50.86</v>
      </c>
    </row>
    <row r="683" spans="1:2" x14ac:dyDescent="0.2">
      <c r="A683">
        <v>93427</v>
      </c>
      <c r="B683">
        <v>35.659999999999997</v>
      </c>
    </row>
    <row r="684" spans="1:2" x14ac:dyDescent="0.2">
      <c r="A684">
        <v>93427</v>
      </c>
      <c r="B684">
        <v>23.48</v>
      </c>
    </row>
    <row r="685" spans="1:2" x14ac:dyDescent="0.2">
      <c r="A685">
        <v>93427</v>
      </c>
      <c r="B685">
        <v>28.5</v>
      </c>
    </row>
    <row r="686" spans="1:2" x14ac:dyDescent="0.2">
      <c r="A686">
        <v>93427</v>
      </c>
      <c r="B686">
        <v>31.42</v>
      </c>
    </row>
    <row r="687" spans="1:2" x14ac:dyDescent="0.2">
      <c r="A687">
        <v>93427</v>
      </c>
      <c r="B687">
        <v>24.54</v>
      </c>
    </row>
    <row r="688" spans="1:2" x14ac:dyDescent="0.2">
      <c r="A688">
        <v>93427</v>
      </c>
      <c r="B688">
        <v>43.45</v>
      </c>
    </row>
    <row r="689" spans="1:2" x14ac:dyDescent="0.2">
      <c r="A689">
        <v>93703</v>
      </c>
      <c r="B689">
        <v>31.33</v>
      </c>
    </row>
    <row r="690" spans="1:2" x14ac:dyDescent="0.2">
      <c r="A690">
        <v>93703</v>
      </c>
      <c r="B690">
        <v>7.01</v>
      </c>
    </row>
    <row r="691" spans="1:2" x14ac:dyDescent="0.2">
      <c r="A691">
        <v>93703</v>
      </c>
      <c r="B691">
        <v>15.27</v>
      </c>
    </row>
    <row r="692" spans="1:2" x14ac:dyDescent="0.2">
      <c r="A692">
        <v>93703</v>
      </c>
      <c r="B692">
        <v>52.46</v>
      </c>
    </row>
    <row r="693" spans="1:2" x14ac:dyDescent="0.2">
      <c r="A693">
        <v>93703</v>
      </c>
      <c r="B693">
        <v>21.18</v>
      </c>
    </row>
    <row r="694" spans="1:2" x14ac:dyDescent="0.2">
      <c r="A694">
        <v>93703</v>
      </c>
      <c r="B694">
        <v>26.37</v>
      </c>
    </row>
    <row r="695" spans="1:2" x14ac:dyDescent="0.2">
      <c r="A695">
        <v>93703</v>
      </c>
      <c r="B695">
        <v>42.54</v>
      </c>
    </row>
    <row r="696" spans="1:2" x14ac:dyDescent="0.2">
      <c r="A696">
        <v>93703</v>
      </c>
      <c r="B696">
        <v>31.06</v>
      </c>
    </row>
    <row r="697" spans="1:2" x14ac:dyDescent="0.2">
      <c r="A697">
        <v>93703</v>
      </c>
      <c r="B697">
        <v>41.77</v>
      </c>
    </row>
    <row r="698" spans="1:2" x14ac:dyDescent="0.2">
      <c r="A698">
        <v>93703</v>
      </c>
      <c r="B698">
        <v>25.61</v>
      </c>
    </row>
    <row r="699" spans="1:2" x14ac:dyDescent="0.2">
      <c r="A699">
        <v>93703</v>
      </c>
      <c r="B699">
        <v>33.25</v>
      </c>
    </row>
    <row r="700" spans="1:2" x14ac:dyDescent="0.2">
      <c r="A700">
        <v>93703</v>
      </c>
      <c r="B700">
        <v>27.84</v>
      </c>
    </row>
    <row r="701" spans="1:2" x14ac:dyDescent="0.2">
      <c r="A701">
        <v>93703</v>
      </c>
      <c r="B701">
        <v>43.19</v>
      </c>
    </row>
    <row r="702" spans="1:2" x14ac:dyDescent="0.2">
      <c r="A702">
        <v>93703</v>
      </c>
      <c r="B702">
        <v>10.42</v>
      </c>
    </row>
    <row r="703" spans="1:2" x14ac:dyDescent="0.2">
      <c r="A703">
        <v>93703</v>
      </c>
      <c r="B703">
        <v>37.1</v>
      </c>
    </row>
    <row r="704" spans="1:2" x14ac:dyDescent="0.2">
      <c r="A704">
        <v>93703</v>
      </c>
      <c r="B704">
        <v>31.53</v>
      </c>
    </row>
    <row r="705" spans="1:2" x14ac:dyDescent="0.2">
      <c r="A705">
        <v>93703</v>
      </c>
      <c r="B705">
        <v>45.46</v>
      </c>
    </row>
    <row r="706" spans="1:2" x14ac:dyDescent="0.2">
      <c r="A706">
        <v>93703</v>
      </c>
      <c r="B706">
        <v>23.94</v>
      </c>
    </row>
    <row r="707" spans="1:2" x14ac:dyDescent="0.2">
      <c r="A707">
        <v>93703</v>
      </c>
      <c r="B707">
        <v>30.06</v>
      </c>
    </row>
    <row r="708" spans="1:2" x14ac:dyDescent="0.2">
      <c r="A708">
        <v>93703</v>
      </c>
      <c r="B708">
        <v>13.24</v>
      </c>
    </row>
    <row r="709" spans="1:2" x14ac:dyDescent="0.2">
      <c r="A709">
        <v>93703</v>
      </c>
      <c r="B709">
        <v>25.64</v>
      </c>
    </row>
    <row r="710" spans="1:2" x14ac:dyDescent="0.2">
      <c r="A710">
        <v>93703</v>
      </c>
      <c r="B710">
        <v>49.63</v>
      </c>
    </row>
    <row r="711" spans="1:2" x14ac:dyDescent="0.2">
      <c r="A711">
        <v>93703</v>
      </c>
      <c r="B711">
        <v>27.16</v>
      </c>
    </row>
    <row r="712" spans="1:2" x14ac:dyDescent="0.2">
      <c r="A712">
        <v>93703</v>
      </c>
      <c r="B712">
        <v>2.6</v>
      </c>
    </row>
    <row r="713" spans="1:2" x14ac:dyDescent="0.2">
      <c r="A713">
        <v>93703</v>
      </c>
      <c r="B713">
        <v>30.92</v>
      </c>
    </row>
    <row r="714" spans="1:2" x14ac:dyDescent="0.2">
      <c r="A714">
        <v>93703</v>
      </c>
      <c r="B714">
        <v>21.03</v>
      </c>
    </row>
    <row r="715" spans="1:2" x14ac:dyDescent="0.2">
      <c r="A715">
        <v>93703</v>
      </c>
      <c r="B715">
        <v>14.47</v>
      </c>
    </row>
    <row r="716" spans="1:2" x14ac:dyDescent="0.2">
      <c r="A716">
        <v>93703</v>
      </c>
      <c r="B716">
        <v>23.66</v>
      </c>
    </row>
    <row r="717" spans="1:2" x14ac:dyDescent="0.2">
      <c r="A717">
        <v>93703</v>
      </c>
      <c r="B717">
        <v>36.82</v>
      </c>
    </row>
    <row r="718" spans="1:2" x14ac:dyDescent="0.2">
      <c r="A718">
        <v>93703</v>
      </c>
      <c r="B718">
        <v>48.4</v>
      </c>
    </row>
    <row r="719" spans="1:2" x14ac:dyDescent="0.2">
      <c r="A719">
        <v>93703</v>
      </c>
      <c r="B719">
        <v>26.31</v>
      </c>
    </row>
    <row r="720" spans="1:2" x14ac:dyDescent="0.2">
      <c r="A720">
        <v>93703</v>
      </c>
      <c r="B720">
        <v>19.2</v>
      </c>
    </row>
    <row r="721" spans="1:2" x14ac:dyDescent="0.2">
      <c r="A721">
        <v>93703</v>
      </c>
      <c r="B721">
        <v>36.159999999999997</v>
      </c>
    </row>
    <row r="722" spans="1:2" x14ac:dyDescent="0.2">
      <c r="A722">
        <v>93703</v>
      </c>
      <c r="B722">
        <v>28.35</v>
      </c>
    </row>
    <row r="723" spans="1:2" x14ac:dyDescent="0.2">
      <c r="A723">
        <v>93703</v>
      </c>
      <c r="B723">
        <v>19.38</v>
      </c>
    </row>
    <row r="724" spans="1:2" x14ac:dyDescent="0.2">
      <c r="A724">
        <v>93703</v>
      </c>
      <c r="B724">
        <v>46.78</v>
      </c>
    </row>
    <row r="725" spans="1:2" x14ac:dyDescent="0.2">
      <c r="A725">
        <v>93703</v>
      </c>
      <c r="B725">
        <v>51.06</v>
      </c>
    </row>
    <row r="726" spans="1:2" x14ac:dyDescent="0.2">
      <c r="A726">
        <v>93703</v>
      </c>
      <c r="B726">
        <v>37.409999999999997</v>
      </c>
    </row>
    <row r="727" spans="1:2" x14ac:dyDescent="0.2">
      <c r="A727">
        <v>93703</v>
      </c>
      <c r="B727">
        <v>28.84</v>
      </c>
    </row>
    <row r="728" spans="1:2" x14ac:dyDescent="0.2">
      <c r="A728">
        <v>93906</v>
      </c>
      <c r="B728">
        <v>33.28</v>
      </c>
    </row>
    <row r="729" spans="1:2" x14ac:dyDescent="0.2">
      <c r="A729">
        <v>93906</v>
      </c>
      <c r="B729">
        <v>27.46</v>
      </c>
    </row>
    <row r="730" spans="1:2" x14ac:dyDescent="0.2">
      <c r="A730">
        <v>93906</v>
      </c>
      <c r="B730">
        <v>25.43</v>
      </c>
    </row>
    <row r="731" spans="1:2" x14ac:dyDescent="0.2">
      <c r="A731">
        <v>93906</v>
      </c>
      <c r="B731">
        <v>42.87</v>
      </c>
    </row>
    <row r="732" spans="1:2" x14ac:dyDescent="0.2">
      <c r="A732">
        <v>93906</v>
      </c>
      <c r="B732">
        <v>25.68</v>
      </c>
    </row>
    <row r="733" spans="1:2" x14ac:dyDescent="0.2">
      <c r="A733">
        <v>93906</v>
      </c>
      <c r="B733">
        <v>44.63</v>
      </c>
    </row>
    <row r="734" spans="1:2" x14ac:dyDescent="0.2">
      <c r="A734">
        <v>93906</v>
      </c>
      <c r="B734">
        <v>30.42</v>
      </c>
    </row>
    <row r="735" spans="1:2" x14ac:dyDescent="0.2">
      <c r="A735">
        <v>93906</v>
      </c>
      <c r="B735">
        <v>28.94</v>
      </c>
    </row>
    <row r="736" spans="1:2" x14ac:dyDescent="0.2">
      <c r="A736">
        <v>93906</v>
      </c>
      <c r="B736">
        <v>31.15</v>
      </c>
    </row>
    <row r="737" spans="1:2" x14ac:dyDescent="0.2">
      <c r="A737">
        <v>93906</v>
      </c>
      <c r="B737">
        <v>17.52</v>
      </c>
    </row>
    <row r="738" spans="1:2" x14ac:dyDescent="0.2">
      <c r="A738">
        <v>93906</v>
      </c>
      <c r="B738">
        <v>30.41</v>
      </c>
    </row>
    <row r="739" spans="1:2" x14ac:dyDescent="0.2">
      <c r="A739">
        <v>93906</v>
      </c>
      <c r="B739">
        <v>23.61</v>
      </c>
    </row>
    <row r="740" spans="1:2" x14ac:dyDescent="0.2">
      <c r="A740">
        <v>93906</v>
      </c>
      <c r="B740">
        <v>27.83</v>
      </c>
    </row>
    <row r="741" spans="1:2" x14ac:dyDescent="0.2">
      <c r="A741">
        <v>93906</v>
      </c>
      <c r="B741">
        <v>30.52</v>
      </c>
    </row>
    <row r="742" spans="1:2" x14ac:dyDescent="0.2">
      <c r="A742">
        <v>93906</v>
      </c>
      <c r="B742">
        <v>27.48</v>
      </c>
    </row>
    <row r="743" spans="1:2" x14ac:dyDescent="0.2">
      <c r="A743">
        <v>93906</v>
      </c>
      <c r="B743">
        <v>8.66</v>
      </c>
    </row>
    <row r="744" spans="1:2" x14ac:dyDescent="0.2">
      <c r="A744">
        <v>93906</v>
      </c>
      <c r="B744">
        <v>21.5</v>
      </c>
    </row>
    <row r="745" spans="1:2" x14ac:dyDescent="0.2">
      <c r="A745">
        <v>93906</v>
      </c>
      <c r="B745">
        <v>19.7</v>
      </c>
    </row>
    <row r="746" spans="1:2" x14ac:dyDescent="0.2">
      <c r="A746">
        <v>93906</v>
      </c>
      <c r="B746">
        <v>52.58</v>
      </c>
    </row>
    <row r="747" spans="1:2" x14ac:dyDescent="0.2">
      <c r="A747">
        <v>93906</v>
      </c>
      <c r="B747">
        <v>17.45</v>
      </c>
    </row>
    <row r="748" spans="1:2" x14ac:dyDescent="0.2">
      <c r="A748">
        <v>93906</v>
      </c>
      <c r="B748">
        <v>34.69</v>
      </c>
    </row>
    <row r="749" spans="1:2" x14ac:dyDescent="0.2">
      <c r="A749">
        <v>93906</v>
      </c>
      <c r="B749">
        <v>46.47</v>
      </c>
    </row>
    <row r="750" spans="1:2" x14ac:dyDescent="0.2">
      <c r="A750">
        <v>93906</v>
      </c>
      <c r="B750">
        <v>25.76</v>
      </c>
    </row>
    <row r="751" spans="1:2" x14ac:dyDescent="0.2">
      <c r="A751">
        <v>93906</v>
      </c>
      <c r="B751">
        <v>18.93</v>
      </c>
    </row>
    <row r="752" spans="1:2" x14ac:dyDescent="0.2">
      <c r="A752">
        <v>93906</v>
      </c>
      <c r="B752">
        <v>19.77</v>
      </c>
    </row>
    <row r="753" spans="1:2" x14ac:dyDescent="0.2">
      <c r="A753">
        <v>93906</v>
      </c>
      <c r="B753">
        <v>46.48</v>
      </c>
    </row>
    <row r="754" spans="1:2" x14ac:dyDescent="0.2">
      <c r="A754">
        <v>93906</v>
      </c>
      <c r="B754">
        <v>36.17</v>
      </c>
    </row>
    <row r="755" spans="1:2" x14ac:dyDescent="0.2">
      <c r="A755">
        <v>93906</v>
      </c>
      <c r="B755">
        <v>21.84</v>
      </c>
    </row>
    <row r="756" spans="1:2" x14ac:dyDescent="0.2">
      <c r="A756">
        <v>93906</v>
      </c>
      <c r="B756">
        <v>34.409999999999997</v>
      </c>
    </row>
    <row r="757" spans="1:2" x14ac:dyDescent="0.2">
      <c r="A757">
        <v>93906</v>
      </c>
      <c r="B757">
        <v>42.53</v>
      </c>
    </row>
    <row r="758" spans="1:2" x14ac:dyDescent="0.2">
      <c r="A758">
        <v>94403</v>
      </c>
      <c r="B758">
        <v>34.6</v>
      </c>
    </row>
    <row r="759" spans="1:2" x14ac:dyDescent="0.2">
      <c r="A759">
        <v>94403</v>
      </c>
      <c r="B759">
        <v>15.84</v>
      </c>
    </row>
    <row r="760" spans="1:2" x14ac:dyDescent="0.2">
      <c r="A760">
        <v>94403</v>
      </c>
      <c r="B760">
        <v>26.37</v>
      </c>
    </row>
    <row r="761" spans="1:2" x14ac:dyDescent="0.2">
      <c r="A761">
        <v>94403</v>
      </c>
      <c r="B761">
        <v>24.51</v>
      </c>
    </row>
    <row r="762" spans="1:2" x14ac:dyDescent="0.2">
      <c r="A762">
        <v>94403</v>
      </c>
      <c r="B762">
        <v>32.36</v>
      </c>
    </row>
    <row r="763" spans="1:2" x14ac:dyDescent="0.2">
      <c r="A763">
        <v>94403</v>
      </c>
      <c r="B763">
        <v>34.65</v>
      </c>
    </row>
    <row r="764" spans="1:2" x14ac:dyDescent="0.2">
      <c r="A764">
        <v>94403</v>
      </c>
      <c r="B764">
        <v>51.05</v>
      </c>
    </row>
    <row r="765" spans="1:2" x14ac:dyDescent="0.2">
      <c r="A765">
        <v>94403</v>
      </c>
      <c r="B765">
        <v>30.18</v>
      </c>
    </row>
    <row r="766" spans="1:2" x14ac:dyDescent="0.2">
      <c r="A766">
        <v>94403</v>
      </c>
      <c r="B766">
        <v>21.19</v>
      </c>
    </row>
    <row r="767" spans="1:2" x14ac:dyDescent="0.2">
      <c r="A767">
        <v>94403</v>
      </c>
      <c r="B767">
        <v>26.79</v>
      </c>
    </row>
    <row r="768" spans="1:2" x14ac:dyDescent="0.2">
      <c r="A768">
        <v>94403</v>
      </c>
      <c r="B768">
        <v>40.56</v>
      </c>
    </row>
    <row r="769" spans="1:2" x14ac:dyDescent="0.2">
      <c r="A769">
        <v>94403</v>
      </c>
      <c r="B769">
        <v>29.43</v>
      </c>
    </row>
    <row r="770" spans="1:2" x14ac:dyDescent="0.2">
      <c r="A770">
        <v>94403</v>
      </c>
      <c r="B770">
        <v>16.59</v>
      </c>
    </row>
    <row r="771" spans="1:2" x14ac:dyDescent="0.2">
      <c r="A771">
        <v>94403</v>
      </c>
      <c r="B771">
        <v>37.53</v>
      </c>
    </row>
    <row r="772" spans="1:2" x14ac:dyDescent="0.2">
      <c r="A772">
        <v>94403</v>
      </c>
      <c r="B772">
        <v>28.43</v>
      </c>
    </row>
    <row r="773" spans="1:2" x14ac:dyDescent="0.2">
      <c r="A773">
        <v>94403</v>
      </c>
      <c r="B773">
        <v>40.15</v>
      </c>
    </row>
    <row r="774" spans="1:2" x14ac:dyDescent="0.2">
      <c r="A774">
        <v>94403</v>
      </c>
      <c r="B774">
        <v>17.27</v>
      </c>
    </row>
    <row r="775" spans="1:2" x14ac:dyDescent="0.2">
      <c r="A775">
        <v>94403</v>
      </c>
      <c r="B775">
        <v>25.58</v>
      </c>
    </row>
    <row r="776" spans="1:2" x14ac:dyDescent="0.2">
      <c r="A776">
        <v>94403</v>
      </c>
      <c r="B776">
        <v>43.61</v>
      </c>
    </row>
    <row r="777" spans="1:2" x14ac:dyDescent="0.2">
      <c r="A777">
        <v>94403</v>
      </c>
      <c r="B777">
        <v>20.16</v>
      </c>
    </row>
    <row r="778" spans="1:2" x14ac:dyDescent="0.2">
      <c r="A778">
        <v>94403</v>
      </c>
      <c r="B778">
        <v>37.479999999999997</v>
      </c>
    </row>
    <row r="779" spans="1:2" x14ac:dyDescent="0.2">
      <c r="A779">
        <v>94403</v>
      </c>
      <c r="B779">
        <v>29.33</v>
      </c>
    </row>
    <row r="780" spans="1:2" x14ac:dyDescent="0.2">
      <c r="A780">
        <v>94403</v>
      </c>
      <c r="B780">
        <v>12.8</v>
      </c>
    </row>
    <row r="781" spans="1:2" x14ac:dyDescent="0.2">
      <c r="A781">
        <v>94403</v>
      </c>
      <c r="B781">
        <v>47.61</v>
      </c>
    </row>
    <row r="782" spans="1:2" x14ac:dyDescent="0.2">
      <c r="A782">
        <v>95051</v>
      </c>
      <c r="B782">
        <v>23.16</v>
      </c>
    </row>
    <row r="783" spans="1:2" x14ac:dyDescent="0.2">
      <c r="A783">
        <v>95051</v>
      </c>
      <c r="B783">
        <v>42.57</v>
      </c>
    </row>
    <row r="784" spans="1:2" x14ac:dyDescent="0.2">
      <c r="A784">
        <v>95051</v>
      </c>
      <c r="B784">
        <v>30.88</v>
      </c>
    </row>
    <row r="785" spans="1:2" x14ac:dyDescent="0.2">
      <c r="A785">
        <v>95051</v>
      </c>
      <c r="B785">
        <v>27.64</v>
      </c>
    </row>
    <row r="786" spans="1:2" x14ac:dyDescent="0.2">
      <c r="A786">
        <v>95051</v>
      </c>
      <c r="B786">
        <v>20.13</v>
      </c>
    </row>
    <row r="787" spans="1:2" x14ac:dyDescent="0.2">
      <c r="A787">
        <v>95051</v>
      </c>
      <c r="B787">
        <v>46.38</v>
      </c>
    </row>
    <row r="788" spans="1:2" x14ac:dyDescent="0.2">
      <c r="A788">
        <v>95051</v>
      </c>
      <c r="B788">
        <v>37.64</v>
      </c>
    </row>
    <row r="789" spans="1:2" x14ac:dyDescent="0.2">
      <c r="A789">
        <v>95051</v>
      </c>
      <c r="B789">
        <v>25.54</v>
      </c>
    </row>
    <row r="790" spans="1:2" x14ac:dyDescent="0.2">
      <c r="A790">
        <v>95051</v>
      </c>
      <c r="B790">
        <v>38.49</v>
      </c>
    </row>
    <row r="791" spans="1:2" x14ac:dyDescent="0.2">
      <c r="A791">
        <v>95051</v>
      </c>
      <c r="B791">
        <v>26.37</v>
      </c>
    </row>
    <row r="792" spans="1:2" x14ac:dyDescent="0.2">
      <c r="A792">
        <v>95051</v>
      </c>
      <c r="B792">
        <v>17.100000000000001</v>
      </c>
    </row>
    <row r="793" spans="1:2" x14ac:dyDescent="0.2">
      <c r="A793">
        <v>95051</v>
      </c>
      <c r="B793">
        <v>47.38</v>
      </c>
    </row>
    <row r="794" spans="1:2" x14ac:dyDescent="0.2">
      <c r="A794">
        <v>95051</v>
      </c>
      <c r="B794">
        <v>34.520000000000003</v>
      </c>
    </row>
    <row r="795" spans="1:2" x14ac:dyDescent="0.2">
      <c r="A795">
        <v>95051</v>
      </c>
      <c r="B795">
        <v>27.87</v>
      </c>
    </row>
    <row r="796" spans="1:2" x14ac:dyDescent="0.2">
      <c r="A796">
        <v>95051</v>
      </c>
      <c r="B796">
        <v>43.63</v>
      </c>
    </row>
    <row r="797" spans="1:2" x14ac:dyDescent="0.2">
      <c r="A797">
        <v>95051</v>
      </c>
      <c r="B797">
        <v>29.32</v>
      </c>
    </row>
    <row r="798" spans="1:2" x14ac:dyDescent="0.2">
      <c r="A798">
        <v>95051</v>
      </c>
      <c r="B798">
        <v>18.809999999999999</v>
      </c>
    </row>
    <row r="799" spans="1:2" x14ac:dyDescent="0.2">
      <c r="A799">
        <v>95051</v>
      </c>
      <c r="B799">
        <v>21.17</v>
      </c>
    </row>
    <row r="800" spans="1:2" x14ac:dyDescent="0.2">
      <c r="A800">
        <v>95051</v>
      </c>
      <c r="B800">
        <v>26.59</v>
      </c>
    </row>
    <row r="801" spans="1:2" x14ac:dyDescent="0.2">
      <c r="A801">
        <v>95051</v>
      </c>
      <c r="B801">
        <v>37.119999999999997</v>
      </c>
    </row>
    <row r="802" spans="1:2" x14ac:dyDescent="0.2">
      <c r="A802">
        <v>95051</v>
      </c>
      <c r="B802">
        <v>41.57</v>
      </c>
    </row>
    <row r="803" spans="1:2" x14ac:dyDescent="0.2">
      <c r="A803">
        <v>95051</v>
      </c>
      <c r="B803">
        <v>7.58</v>
      </c>
    </row>
    <row r="804" spans="1:2" x14ac:dyDescent="0.2">
      <c r="A804">
        <v>95051</v>
      </c>
      <c r="B804">
        <v>39.07</v>
      </c>
    </row>
    <row r="805" spans="1:2" x14ac:dyDescent="0.2">
      <c r="A805">
        <v>95051</v>
      </c>
      <c r="B805">
        <v>24.88</v>
      </c>
    </row>
    <row r="806" spans="1:2" x14ac:dyDescent="0.2">
      <c r="A806">
        <v>95051</v>
      </c>
      <c r="B806">
        <v>51.48</v>
      </c>
    </row>
    <row r="807" spans="1:2" x14ac:dyDescent="0.2">
      <c r="A807">
        <v>95051</v>
      </c>
      <c r="B807">
        <v>19.37</v>
      </c>
    </row>
    <row r="808" spans="1:2" x14ac:dyDescent="0.2">
      <c r="A808">
        <v>95993</v>
      </c>
      <c r="B808">
        <v>23.35</v>
      </c>
    </row>
    <row r="809" spans="1:2" x14ac:dyDescent="0.2">
      <c r="A809">
        <v>95993</v>
      </c>
      <c r="B809">
        <v>45.88</v>
      </c>
    </row>
    <row r="810" spans="1:2" x14ac:dyDescent="0.2">
      <c r="A810">
        <v>95993</v>
      </c>
      <c r="B810">
        <v>26.37</v>
      </c>
    </row>
    <row r="811" spans="1:2" x14ac:dyDescent="0.2">
      <c r="A811">
        <v>95993</v>
      </c>
      <c r="B811">
        <v>30.14</v>
      </c>
    </row>
    <row r="812" spans="1:2" x14ac:dyDescent="0.2">
      <c r="A812">
        <v>95993</v>
      </c>
      <c r="B812">
        <v>16.940000000000001</v>
      </c>
    </row>
    <row r="813" spans="1:2" x14ac:dyDescent="0.2">
      <c r="A813">
        <v>95993</v>
      </c>
      <c r="B813">
        <v>43.51</v>
      </c>
    </row>
    <row r="814" spans="1:2" x14ac:dyDescent="0.2">
      <c r="A814">
        <v>95993</v>
      </c>
      <c r="B814">
        <v>23.66</v>
      </c>
    </row>
    <row r="815" spans="1:2" x14ac:dyDescent="0.2">
      <c r="A815">
        <v>95993</v>
      </c>
      <c r="B815">
        <v>48.59</v>
      </c>
    </row>
    <row r="816" spans="1:2" x14ac:dyDescent="0.2">
      <c r="A816">
        <v>95993</v>
      </c>
      <c r="B816">
        <v>34.67</v>
      </c>
    </row>
    <row r="817" spans="1:2" x14ac:dyDescent="0.2">
      <c r="A817">
        <v>95993</v>
      </c>
      <c r="B817">
        <v>26.77</v>
      </c>
    </row>
    <row r="818" spans="1:2" x14ac:dyDescent="0.2">
      <c r="A818">
        <v>95993</v>
      </c>
      <c r="B818">
        <v>40.25</v>
      </c>
    </row>
    <row r="819" spans="1:2" x14ac:dyDescent="0.2">
      <c r="A819">
        <v>95993</v>
      </c>
      <c r="B819">
        <v>29.43</v>
      </c>
    </row>
    <row r="820" spans="1:2" x14ac:dyDescent="0.2">
      <c r="A820">
        <v>95993</v>
      </c>
      <c r="B820">
        <v>24.57</v>
      </c>
    </row>
    <row r="821" spans="1:2" x14ac:dyDescent="0.2">
      <c r="A821">
        <v>95993</v>
      </c>
      <c r="B821">
        <v>18.559999999999999</v>
      </c>
    </row>
    <row r="822" spans="1:2" x14ac:dyDescent="0.2">
      <c r="A822">
        <v>95993</v>
      </c>
      <c r="B822">
        <v>27.49</v>
      </c>
    </row>
    <row r="823" spans="1:2" x14ac:dyDescent="0.2">
      <c r="A823">
        <v>95993</v>
      </c>
      <c r="B823">
        <v>10.24</v>
      </c>
    </row>
    <row r="824" spans="1:2" x14ac:dyDescent="0.2">
      <c r="A824">
        <v>95993</v>
      </c>
      <c r="B824">
        <v>46.11</v>
      </c>
    </row>
    <row r="825" spans="1:2" x14ac:dyDescent="0.2">
      <c r="A825">
        <v>95993</v>
      </c>
      <c r="B825">
        <v>32.26</v>
      </c>
    </row>
    <row r="826" spans="1:2" x14ac:dyDescent="0.2">
      <c r="A826">
        <v>95993</v>
      </c>
      <c r="B826">
        <v>53.47</v>
      </c>
    </row>
    <row r="827" spans="1:2" x14ac:dyDescent="0.2">
      <c r="A827">
        <v>95993</v>
      </c>
      <c r="B827">
        <v>24.38</v>
      </c>
    </row>
    <row r="828" spans="1:2" x14ac:dyDescent="0.2">
      <c r="A828">
        <v>95993</v>
      </c>
      <c r="B828">
        <v>31.65</v>
      </c>
    </row>
    <row r="829" spans="1:2" x14ac:dyDescent="0.2">
      <c r="A829">
        <v>95993</v>
      </c>
      <c r="B829">
        <v>23.45</v>
      </c>
    </row>
    <row r="830" spans="1:2" x14ac:dyDescent="0.2">
      <c r="A830">
        <v>95993</v>
      </c>
      <c r="B830">
        <v>15.52</v>
      </c>
    </row>
    <row r="831" spans="1:2" x14ac:dyDescent="0.2">
      <c r="A831">
        <v>95993</v>
      </c>
      <c r="B831">
        <v>34.89</v>
      </c>
    </row>
    <row r="832" spans="1:2" x14ac:dyDescent="0.2">
      <c r="A832">
        <v>95993</v>
      </c>
      <c r="B832">
        <v>22.55</v>
      </c>
    </row>
    <row r="833" spans="1:2" x14ac:dyDescent="0.2">
      <c r="A833">
        <v>95993</v>
      </c>
      <c r="B833">
        <v>28.46</v>
      </c>
    </row>
    <row r="834" spans="1:2" x14ac:dyDescent="0.2">
      <c r="A834">
        <v>96130</v>
      </c>
      <c r="B834">
        <v>40.340000000000003</v>
      </c>
    </row>
    <row r="835" spans="1:2" x14ac:dyDescent="0.2">
      <c r="A835">
        <v>96130</v>
      </c>
      <c r="B835">
        <v>34.159999999999997</v>
      </c>
    </row>
    <row r="836" spans="1:2" x14ac:dyDescent="0.2">
      <c r="A836">
        <v>96130</v>
      </c>
      <c r="B836">
        <v>25.67</v>
      </c>
    </row>
    <row r="837" spans="1:2" x14ac:dyDescent="0.2">
      <c r="A837">
        <v>96130</v>
      </c>
      <c r="B837">
        <v>49.31</v>
      </c>
    </row>
    <row r="838" spans="1:2" x14ac:dyDescent="0.2">
      <c r="A838">
        <v>96130</v>
      </c>
      <c r="B838">
        <v>20.32</v>
      </c>
    </row>
    <row r="839" spans="1:2" x14ac:dyDescent="0.2">
      <c r="A839">
        <v>96130</v>
      </c>
      <c r="B839">
        <v>37.64</v>
      </c>
    </row>
    <row r="840" spans="1:2" x14ac:dyDescent="0.2">
      <c r="A840">
        <v>96130</v>
      </c>
      <c r="B840">
        <v>31.45</v>
      </c>
    </row>
    <row r="841" spans="1:2" x14ac:dyDescent="0.2">
      <c r="A841">
        <v>96130</v>
      </c>
      <c r="B841">
        <v>19.64</v>
      </c>
    </row>
    <row r="842" spans="1:2" x14ac:dyDescent="0.2">
      <c r="A842">
        <v>96130</v>
      </c>
      <c r="B842">
        <v>27.35</v>
      </c>
    </row>
    <row r="843" spans="1:2" x14ac:dyDescent="0.2">
      <c r="A843">
        <v>96130</v>
      </c>
      <c r="B843">
        <v>51.09</v>
      </c>
    </row>
    <row r="844" spans="1:2" x14ac:dyDescent="0.2">
      <c r="A844">
        <v>96130</v>
      </c>
      <c r="B844">
        <v>20.170000000000002</v>
      </c>
    </row>
    <row r="845" spans="1:2" x14ac:dyDescent="0.2">
      <c r="A845">
        <v>96130</v>
      </c>
      <c r="B845">
        <v>30.15</v>
      </c>
    </row>
    <row r="846" spans="1:2" x14ac:dyDescent="0.2">
      <c r="A846">
        <v>96130</v>
      </c>
      <c r="B846">
        <v>31.34</v>
      </c>
    </row>
    <row r="847" spans="1:2" x14ac:dyDescent="0.2">
      <c r="A847">
        <v>96130</v>
      </c>
      <c r="B847">
        <v>24.74</v>
      </c>
    </row>
    <row r="848" spans="1:2" x14ac:dyDescent="0.2">
      <c r="A848">
        <v>96130</v>
      </c>
      <c r="B848">
        <v>11.17</v>
      </c>
    </row>
    <row r="849" spans="1:2" x14ac:dyDescent="0.2">
      <c r="A849">
        <v>96130</v>
      </c>
      <c r="B849">
        <v>33.92</v>
      </c>
    </row>
    <row r="850" spans="1:2" x14ac:dyDescent="0.2">
      <c r="A850">
        <v>97002</v>
      </c>
      <c r="B850">
        <v>11.49</v>
      </c>
    </row>
    <row r="851" spans="1:2" x14ac:dyDescent="0.2">
      <c r="A851">
        <v>97002</v>
      </c>
      <c r="B851">
        <v>31.26</v>
      </c>
    </row>
    <row r="852" spans="1:2" x14ac:dyDescent="0.2">
      <c r="A852">
        <v>97002</v>
      </c>
      <c r="B852">
        <v>23.44</v>
      </c>
    </row>
    <row r="853" spans="1:2" x14ac:dyDescent="0.2">
      <c r="A853">
        <v>97002</v>
      </c>
      <c r="B853">
        <v>27.51</v>
      </c>
    </row>
    <row r="854" spans="1:2" x14ac:dyDescent="0.2">
      <c r="A854">
        <v>97002</v>
      </c>
      <c r="B854">
        <v>38.24</v>
      </c>
    </row>
    <row r="855" spans="1:2" x14ac:dyDescent="0.2">
      <c r="A855">
        <v>97002</v>
      </c>
      <c r="B855">
        <v>45.47</v>
      </c>
    </row>
    <row r="856" spans="1:2" x14ac:dyDescent="0.2">
      <c r="A856">
        <v>97002</v>
      </c>
      <c r="B856">
        <v>24.34</v>
      </c>
    </row>
    <row r="857" spans="1:2" x14ac:dyDescent="0.2">
      <c r="A857">
        <v>97002</v>
      </c>
      <c r="B857">
        <v>20.39</v>
      </c>
    </row>
    <row r="858" spans="1:2" x14ac:dyDescent="0.2">
      <c r="A858">
        <v>97002</v>
      </c>
      <c r="B858">
        <v>38.659999999999997</v>
      </c>
    </row>
    <row r="859" spans="1:2" x14ac:dyDescent="0.2">
      <c r="A859">
        <v>97002</v>
      </c>
      <c r="B859">
        <v>40.32</v>
      </c>
    </row>
    <row r="860" spans="1:2" x14ac:dyDescent="0.2">
      <c r="A860">
        <v>97002</v>
      </c>
      <c r="B860">
        <v>32.51</v>
      </c>
    </row>
    <row r="861" spans="1:2" x14ac:dyDescent="0.2">
      <c r="A861">
        <v>97002</v>
      </c>
      <c r="B861">
        <v>47.58</v>
      </c>
    </row>
    <row r="862" spans="1:2" x14ac:dyDescent="0.2">
      <c r="A862">
        <v>97002</v>
      </c>
      <c r="B862">
        <v>29.37</v>
      </c>
    </row>
    <row r="863" spans="1:2" x14ac:dyDescent="0.2">
      <c r="A863">
        <v>97002</v>
      </c>
      <c r="B863">
        <v>35.26</v>
      </c>
    </row>
    <row r="864" spans="1:2" x14ac:dyDescent="0.2">
      <c r="A864">
        <v>97002</v>
      </c>
      <c r="B864">
        <v>24.68</v>
      </c>
    </row>
    <row r="865" spans="1:2" x14ac:dyDescent="0.2">
      <c r="A865">
        <v>97002</v>
      </c>
      <c r="B865">
        <v>37.57</v>
      </c>
    </row>
    <row r="866" spans="1:2" x14ac:dyDescent="0.2">
      <c r="A866">
        <v>97002</v>
      </c>
      <c r="B866">
        <v>19.670000000000002</v>
      </c>
    </row>
    <row r="867" spans="1:2" x14ac:dyDescent="0.2">
      <c r="A867">
        <v>97002</v>
      </c>
      <c r="B867">
        <v>40.520000000000003</v>
      </c>
    </row>
    <row r="868" spans="1:2" x14ac:dyDescent="0.2">
      <c r="A868">
        <v>97002</v>
      </c>
      <c r="B868">
        <v>16.850000000000001</v>
      </c>
    </row>
    <row r="869" spans="1:2" x14ac:dyDescent="0.2">
      <c r="A869">
        <v>97002</v>
      </c>
      <c r="B869">
        <v>30.97</v>
      </c>
    </row>
    <row r="870" spans="1:2" x14ac:dyDescent="0.2">
      <c r="A870">
        <v>97002</v>
      </c>
      <c r="B870">
        <v>27.02</v>
      </c>
    </row>
    <row r="871" spans="1:2" x14ac:dyDescent="0.2">
      <c r="A871">
        <v>97002</v>
      </c>
      <c r="B871">
        <v>22.3</v>
      </c>
    </row>
    <row r="872" spans="1:2" x14ac:dyDescent="0.2">
      <c r="A872">
        <v>97524</v>
      </c>
      <c r="B872">
        <v>4.2699999999999996</v>
      </c>
    </row>
    <row r="873" spans="1:2" x14ac:dyDescent="0.2">
      <c r="A873">
        <v>97524</v>
      </c>
      <c r="B873">
        <v>27.51</v>
      </c>
    </row>
    <row r="874" spans="1:2" x14ac:dyDescent="0.2">
      <c r="A874">
        <v>97524</v>
      </c>
      <c r="B874">
        <v>40.33</v>
      </c>
    </row>
    <row r="875" spans="1:2" x14ac:dyDescent="0.2">
      <c r="A875">
        <v>97524</v>
      </c>
      <c r="B875">
        <v>23.76</v>
      </c>
    </row>
    <row r="876" spans="1:2" x14ac:dyDescent="0.2">
      <c r="A876">
        <v>97524</v>
      </c>
      <c r="B876">
        <v>31.54</v>
      </c>
    </row>
    <row r="877" spans="1:2" x14ac:dyDescent="0.2">
      <c r="A877">
        <v>97524</v>
      </c>
      <c r="B877">
        <v>26.49</v>
      </c>
    </row>
    <row r="878" spans="1:2" x14ac:dyDescent="0.2">
      <c r="A878">
        <v>97524</v>
      </c>
      <c r="B878">
        <v>30.61</v>
      </c>
    </row>
    <row r="879" spans="1:2" x14ac:dyDescent="0.2">
      <c r="A879">
        <v>97524</v>
      </c>
      <c r="B879">
        <v>22.59</v>
      </c>
    </row>
    <row r="880" spans="1:2" x14ac:dyDescent="0.2">
      <c r="A880">
        <v>97524</v>
      </c>
      <c r="B880">
        <v>45.78</v>
      </c>
    </row>
    <row r="881" spans="1:2" x14ac:dyDescent="0.2">
      <c r="A881">
        <v>97524</v>
      </c>
      <c r="B881">
        <v>31.06</v>
      </c>
    </row>
    <row r="882" spans="1:2" x14ac:dyDescent="0.2">
      <c r="A882">
        <v>97524</v>
      </c>
      <c r="B882">
        <v>26.15</v>
      </c>
    </row>
    <row r="883" spans="1:2" x14ac:dyDescent="0.2">
      <c r="A883">
        <v>97524</v>
      </c>
      <c r="B883">
        <v>27.88</v>
      </c>
    </row>
    <row r="884" spans="1:2" x14ac:dyDescent="0.2">
      <c r="A884">
        <v>97524</v>
      </c>
      <c r="B884">
        <v>30.61</v>
      </c>
    </row>
    <row r="885" spans="1:2" x14ac:dyDescent="0.2">
      <c r="A885">
        <v>97524</v>
      </c>
      <c r="B885">
        <v>37.869999999999997</v>
      </c>
    </row>
    <row r="886" spans="1:2" x14ac:dyDescent="0.2">
      <c r="A886">
        <v>97524</v>
      </c>
      <c r="B886">
        <v>16.489999999999998</v>
      </c>
    </row>
    <row r="887" spans="1:2" x14ac:dyDescent="0.2">
      <c r="A887">
        <v>97524</v>
      </c>
      <c r="B887">
        <v>41.22</v>
      </c>
    </row>
    <row r="888" spans="1:2" x14ac:dyDescent="0.2">
      <c r="A888">
        <v>97524</v>
      </c>
      <c r="B888">
        <v>30.11</v>
      </c>
    </row>
    <row r="889" spans="1:2" x14ac:dyDescent="0.2">
      <c r="A889">
        <v>97524</v>
      </c>
      <c r="B889">
        <v>43.17</v>
      </c>
    </row>
    <row r="890" spans="1:2" x14ac:dyDescent="0.2">
      <c r="A890">
        <v>97524</v>
      </c>
      <c r="B890">
        <v>38.49</v>
      </c>
    </row>
    <row r="891" spans="1:2" x14ac:dyDescent="0.2">
      <c r="A891">
        <v>97524</v>
      </c>
      <c r="B891">
        <v>24.55</v>
      </c>
    </row>
    <row r="892" spans="1:2" x14ac:dyDescent="0.2">
      <c r="A892">
        <v>97524</v>
      </c>
      <c r="B892">
        <v>44.26</v>
      </c>
    </row>
    <row r="893" spans="1:2" x14ac:dyDescent="0.2">
      <c r="A893">
        <v>97524</v>
      </c>
      <c r="B893">
        <v>27.43</v>
      </c>
    </row>
    <row r="894" spans="1:2" x14ac:dyDescent="0.2">
      <c r="A894">
        <v>97524</v>
      </c>
      <c r="B894">
        <v>40.369999999999997</v>
      </c>
    </row>
    <row r="895" spans="1:2" x14ac:dyDescent="0.2">
      <c r="A895">
        <v>97524</v>
      </c>
      <c r="B895">
        <v>53.57</v>
      </c>
    </row>
    <row r="896" spans="1:2" x14ac:dyDescent="0.2">
      <c r="A896">
        <v>97524</v>
      </c>
      <c r="B896">
        <v>23.58</v>
      </c>
    </row>
    <row r="897" spans="1:2" x14ac:dyDescent="0.2">
      <c r="A897">
        <v>97524</v>
      </c>
      <c r="B897">
        <v>19.23</v>
      </c>
    </row>
    <row r="898" spans="1:2" x14ac:dyDescent="0.2">
      <c r="A898">
        <v>97524</v>
      </c>
      <c r="B898">
        <v>22.65</v>
      </c>
    </row>
    <row r="899" spans="1:2" x14ac:dyDescent="0.2">
      <c r="A899">
        <v>97524</v>
      </c>
      <c r="B899">
        <v>18.02</v>
      </c>
    </row>
    <row r="900" spans="1:2" x14ac:dyDescent="0.2">
      <c r="A900">
        <v>97524</v>
      </c>
      <c r="B900">
        <v>53.75</v>
      </c>
    </row>
    <row r="901" spans="1:2" x14ac:dyDescent="0.2">
      <c r="A901">
        <v>97524</v>
      </c>
      <c r="B901">
        <v>32.53</v>
      </c>
    </row>
    <row r="902" spans="1:2" x14ac:dyDescent="0.2">
      <c r="A902">
        <v>97862</v>
      </c>
      <c r="B902">
        <v>23.44</v>
      </c>
    </row>
    <row r="903" spans="1:2" x14ac:dyDescent="0.2">
      <c r="A903">
        <v>97862</v>
      </c>
      <c r="B903">
        <v>37.31</v>
      </c>
    </row>
    <row r="904" spans="1:2" x14ac:dyDescent="0.2">
      <c r="A904">
        <v>97862</v>
      </c>
      <c r="B904">
        <v>30.04</v>
      </c>
    </row>
    <row r="905" spans="1:2" x14ac:dyDescent="0.2">
      <c r="A905">
        <v>97862</v>
      </c>
      <c r="B905">
        <v>21.37</v>
      </c>
    </row>
    <row r="906" spans="1:2" x14ac:dyDescent="0.2">
      <c r="A906">
        <v>97862</v>
      </c>
      <c r="B906">
        <v>26.84</v>
      </c>
    </row>
    <row r="907" spans="1:2" x14ac:dyDescent="0.2">
      <c r="A907">
        <v>97862</v>
      </c>
      <c r="B907">
        <v>32.659999999999997</v>
      </c>
    </row>
    <row r="908" spans="1:2" x14ac:dyDescent="0.2">
      <c r="A908">
        <v>97862</v>
      </c>
      <c r="B908">
        <v>17.690000000000001</v>
      </c>
    </row>
    <row r="909" spans="1:2" x14ac:dyDescent="0.2">
      <c r="A909">
        <v>97862</v>
      </c>
      <c r="B909">
        <v>40.67</v>
      </c>
    </row>
    <row r="910" spans="1:2" x14ac:dyDescent="0.2">
      <c r="A910">
        <v>97862</v>
      </c>
      <c r="B910">
        <v>26.46</v>
      </c>
    </row>
    <row r="911" spans="1:2" x14ac:dyDescent="0.2">
      <c r="A911">
        <v>97862</v>
      </c>
      <c r="B911">
        <v>30.73</v>
      </c>
    </row>
    <row r="912" spans="1:2" x14ac:dyDescent="0.2">
      <c r="A912">
        <v>97862</v>
      </c>
      <c r="B912">
        <v>24.57</v>
      </c>
    </row>
    <row r="913" spans="1:2" x14ac:dyDescent="0.2">
      <c r="A913">
        <v>97862</v>
      </c>
      <c r="B913">
        <v>41.5</v>
      </c>
    </row>
    <row r="914" spans="1:2" x14ac:dyDescent="0.2">
      <c r="A914">
        <v>97862</v>
      </c>
      <c r="B914">
        <v>28.77</v>
      </c>
    </row>
    <row r="915" spans="1:2" x14ac:dyDescent="0.2">
      <c r="A915">
        <v>97862</v>
      </c>
      <c r="B915">
        <v>50.34</v>
      </c>
    </row>
    <row r="916" spans="1:2" x14ac:dyDescent="0.2">
      <c r="A916">
        <v>97862</v>
      </c>
      <c r="B916">
        <v>29.04</v>
      </c>
    </row>
    <row r="917" spans="1:2" x14ac:dyDescent="0.2">
      <c r="A917">
        <v>97862</v>
      </c>
      <c r="B917">
        <v>31.43</v>
      </c>
    </row>
    <row r="918" spans="1:2" x14ac:dyDescent="0.2">
      <c r="A918">
        <v>97862</v>
      </c>
      <c r="B918">
        <v>40.17</v>
      </c>
    </row>
    <row r="919" spans="1:2" x14ac:dyDescent="0.2">
      <c r="A919">
        <v>97862</v>
      </c>
      <c r="B919">
        <v>27.17</v>
      </c>
    </row>
    <row r="920" spans="1:2" x14ac:dyDescent="0.2">
      <c r="A920">
        <v>97862</v>
      </c>
      <c r="B920">
        <v>23.5</v>
      </c>
    </row>
    <row r="921" spans="1:2" x14ac:dyDescent="0.2">
      <c r="A921">
        <v>97862</v>
      </c>
      <c r="B921">
        <v>38.47</v>
      </c>
    </row>
    <row r="922" spans="1:2" x14ac:dyDescent="0.2">
      <c r="A922">
        <v>97862</v>
      </c>
      <c r="B922">
        <v>14.27</v>
      </c>
    </row>
    <row r="923" spans="1:2" x14ac:dyDescent="0.2">
      <c r="A923">
        <v>97862</v>
      </c>
      <c r="B923">
        <v>47.22</v>
      </c>
    </row>
    <row r="924" spans="1:2" x14ac:dyDescent="0.2">
      <c r="A924">
        <v>97862</v>
      </c>
      <c r="B924">
        <v>33.6</v>
      </c>
    </row>
    <row r="925" spans="1:2" x14ac:dyDescent="0.2">
      <c r="A925">
        <v>97862</v>
      </c>
      <c r="B925">
        <v>42.79</v>
      </c>
    </row>
    <row r="926" spans="1:2" x14ac:dyDescent="0.2">
      <c r="A926">
        <v>97862</v>
      </c>
      <c r="B926">
        <v>23.34</v>
      </c>
    </row>
    <row r="927" spans="1:2" x14ac:dyDescent="0.2">
      <c r="A927">
        <v>97862</v>
      </c>
      <c r="B927">
        <v>33.67</v>
      </c>
    </row>
    <row r="928" spans="1:2" x14ac:dyDescent="0.2">
      <c r="A928">
        <v>97920</v>
      </c>
      <c r="B928">
        <v>51.98</v>
      </c>
    </row>
    <row r="929" spans="1:2" x14ac:dyDescent="0.2">
      <c r="A929">
        <v>97920</v>
      </c>
      <c r="B929">
        <v>26.49</v>
      </c>
    </row>
    <row r="930" spans="1:2" x14ac:dyDescent="0.2">
      <c r="A930">
        <v>97920</v>
      </c>
      <c r="B930">
        <v>30.27</v>
      </c>
    </row>
    <row r="931" spans="1:2" x14ac:dyDescent="0.2">
      <c r="A931">
        <v>97920</v>
      </c>
      <c r="B931">
        <v>48.34</v>
      </c>
    </row>
    <row r="932" spans="1:2" x14ac:dyDescent="0.2">
      <c r="A932">
        <v>97920</v>
      </c>
      <c r="B932">
        <v>25.78</v>
      </c>
    </row>
    <row r="933" spans="1:2" x14ac:dyDescent="0.2">
      <c r="A933">
        <v>97920</v>
      </c>
      <c r="B933">
        <v>46.51</v>
      </c>
    </row>
    <row r="934" spans="1:2" x14ac:dyDescent="0.2">
      <c r="A934">
        <v>97920</v>
      </c>
      <c r="B934">
        <v>27.83</v>
      </c>
    </row>
    <row r="935" spans="1:2" x14ac:dyDescent="0.2">
      <c r="A935">
        <v>97920</v>
      </c>
      <c r="B935">
        <v>39.74</v>
      </c>
    </row>
    <row r="936" spans="1:2" x14ac:dyDescent="0.2">
      <c r="A936">
        <v>97920</v>
      </c>
      <c r="B936">
        <v>34.799999999999997</v>
      </c>
    </row>
    <row r="937" spans="1:2" x14ac:dyDescent="0.2">
      <c r="A937">
        <v>97920</v>
      </c>
      <c r="B937">
        <v>36.53</v>
      </c>
    </row>
    <row r="938" spans="1:2" x14ac:dyDescent="0.2">
      <c r="A938">
        <v>97920</v>
      </c>
      <c r="B938">
        <v>27.64</v>
      </c>
    </row>
    <row r="939" spans="1:2" x14ac:dyDescent="0.2">
      <c r="A939">
        <v>97920</v>
      </c>
      <c r="B939">
        <v>13.34</v>
      </c>
    </row>
    <row r="940" spans="1:2" x14ac:dyDescent="0.2">
      <c r="A940">
        <v>97920</v>
      </c>
      <c r="B940">
        <v>28.75</v>
      </c>
    </row>
    <row r="941" spans="1:2" x14ac:dyDescent="0.2">
      <c r="A941">
        <v>97920</v>
      </c>
      <c r="B941">
        <v>30.42</v>
      </c>
    </row>
    <row r="942" spans="1:2" x14ac:dyDescent="0.2">
      <c r="A942">
        <v>97920</v>
      </c>
      <c r="B942">
        <v>48.51</v>
      </c>
    </row>
    <row r="943" spans="1:2" x14ac:dyDescent="0.2">
      <c r="A943">
        <v>97920</v>
      </c>
      <c r="B943">
        <v>29.64</v>
      </c>
    </row>
    <row r="944" spans="1:2" x14ac:dyDescent="0.2">
      <c r="A944">
        <v>98059</v>
      </c>
      <c r="B944">
        <v>31.63</v>
      </c>
    </row>
    <row r="945" spans="1:2" x14ac:dyDescent="0.2">
      <c r="A945">
        <v>98059</v>
      </c>
      <c r="B945">
        <v>26.47</v>
      </c>
    </row>
    <row r="946" spans="1:2" x14ac:dyDescent="0.2">
      <c r="A946">
        <v>98059</v>
      </c>
      <c r="B946">
        <v>43.57</v>
      </c>
    </row>
    <row r="947" spans="1:2" x14ac:dyDescent="0.2">
      <c r="A947">
        <v>98059</v>
      </c>
      <c r="B947">
        <v>30.54</v>
      </c>
    </row>
    <row r="948" spans="1:2" x14ac:dyDescent="0.2">
      <c r="A948">
        <v>98059</v>
      </c>
      <c r="B948">
        <v>38.590000000000003</v>
      </c>
    </row>
    <row r="949" spans="1:2" x14ac:dyDescent="0.2">
      <c r="A949">
        <v>98059</v>
      </c>
      <c r="B949">
        <v>19.559999999999999</v>
      </c>
    </row>
    <row r="950" spans="1:2" x14ac:dyDescent="0.2">
      <c r="A950">
        <v>98059</v>
      </c>
      <c r="B950">
        <v>27.58</v>
      </c>
    </row>
    <row r="951" spans="1:2" x14ac:dyDescent="0.2">
      <c r="A951">
        <v>98059</v>
      </c>
      <c r="B951">
        <v>46.37</v>
      </c>
    </row>
    <row r="952" spans="1:2" x14ac:dyDescent="0.2">
      <c r="A952">
        <v>98059</v>
      </c>
      <c r="B952">
        <v>28.41</v>
      </c>
    </row>
    <row r="953" spans="1:2" x14ac:dyDescent="0.2">
      <c r="A953">
        <v>98059</v>
      </c>
      <c r="B953">
        <v>54.57</v>
      </c>
    </row>
    <row r="954" spans="1:2" x14ac:dyDescent="0.2">
      <c r="A954">
        <v>98059</v>
      </c>
      <c r="B954">
        <v>36.28</v>
      </c>
    </row>
    <row r="955" spans="1:2" x14ac:dyDescent="0.2">
      <c r="A955">
        <v>98059</v>
      </c>
      <c r="B955">
        <v>27.48</v>
      </c>
    </row>
    <row r="956" spans="1:2" x14ac:dyDescent="0.2">
      <c r="A956">
        <v>98059</v>
      </c>
      <c r="B956">
        <v>25.43</v>
      </c>
    </row>
    <row r="957" spans="1:2" x14ac:dyDescent="0.2">
      <c r="A957">
        <v>98059</v>
      </c>
      <c r="B957">
        <v>31.02</v>
      </c>
    </row>
    <row r="958" spans="1:2" x14ac:dyDescent="0.2">
      <c r="A958">
        <v>98059</v>
      </c>
      <c r="B958">
        <v>49.82</v>
      </c>
    </row>
    <row r="959" spans="1:2" x14ac:dyDescent="0.2">
      <c r="A959">
        <v>98059</v>
      </c>
      <c r="B959">
        <v>15.78</v>
      </c>
    </row>
    <row r="960" spans="1:2" x14ac:dyDescent="0.2">
      <c r="A960">
        <v>98059</v>
      </c>
      <c r="B960">
        <v>44.57</v>
      </c>
    </row>
    <row r="961" spans="1:2" x14ac:dyDescent="0.2">
      <c r="A961">
        <v>98059</v>
      </c>
      <c r="B961">
        <v>28.53</v>
      </c>
    </row>
    <row r="962" spans="1:2" x14ac:dyDescent="0.2">
      <c r="A962">
        <v>98059</v>
      </c>
      <c r="B962">
        <v>39.61</v>
      </c>
    </row>
    <row r="963" spans="1:2" x14ac:dyDescent="0.2">
      <c r="A963">
        <v>98059</v>
      </c>
      <c r="B963">
        <v>24.31</v>
      </c>
    </row>
    <row r="964" spans="1:2" x14ac:dyDescent="0.2">
      <c r="A964">
        <v>98059</v>
      </c>
      <c r="B964">
        <v>37.68</v>
      </c>
    </row>
    <row r="965" spans="1:2" x14ac:dyDescent="0.2">
      <c r="A965">
        <v>98059</v>
      </c>
      <c r="B965">
        <v>27.52</v>
      </c>
    </row>
    <row r="966" spans="1:2" x14ac:dyDescent="0.2">
      <c r="A966">
        <v>98059</v>
      </c>
      <c r="B966">
        <v>34.159999999999997</v>
      </c>
    </row>
    <row r="967" spans="1:2" x14ac:dyDescent="0.2">
      <c r="A967">
        <v>98059</v>
      </c>
      <c r="B967">
        <v>20.37</v>
      </c>
    </row>
    <row r="968" spans="1:2" x14ac:dyDescent="0.2">
      <c r="A968">
        <v>98059</v>
      </c>
      <c r="B968">
        <v>10.51</v>
      </c>
    </row>
    <row r="969" spans="1:2" x14ac:dyDescent="0.2">
      <c r="A969">
        <v>98059</v>
      </c>
      <c r="B969">
        <v>33.35</v>
      </c>
    </row>
    <row r="970" spans="1:2" x14ac:dyDescent="0.2">
      <c r="A970">
        <v>98059</v>
      </c>
      <c r="B970">
        <v>21.44</v>
      </c>
    </row>
    <row r="971" spans="1:2" x14ac:dyDescent="0.2">
      <c r="A971">
        <v>98059</v>
      </c>
      <c r="B971">
        <v>49.08</v>
      </c>
    </row>
    <row r="972" spans="1:2" x14ac:dyDescent="0.2">
      <c r="A972">
        <v>98059</v>
      </c>
      <c r="B972">
        <v>25.96</v>
      </c>
    </row>
    <row r="973" spans="1:2" x14ac:dyDescent="0.2">
      <c r="A973">
        <v>98059</v>
      </c>
      <c r="B973">
        <v>38.26</v>
      </c>
    </row>
    <row r="974" spans="1:2" x14ac:dyDescent="0.2">
      <c r="A974">
        <v>98248</v>
      </c>
      <c r="B974">
        <v>14.18</v>
      </c>
    </row>
    <row r="975" spans="1:2" x14ac:dyDescent="0.2">
      <c r="A975">
        <v>98248</v>
      </c>
      <c r="B975">
        <v>46.57</v>
      </c>
    </row>
    <row r="976" spans="1:2" x14ac:dyDescent="0.2">
      <c r="A976">
        <v>98248</v>
      </c>
      <c r="B976">
        <v>31.05</v>
      </c>
    </row>
    <row r="977" spans="1:2" x14ac:dyDescent="0.2">
      <c r="A977">
        <v>98248</v>
      </c>
      <c r="B977">
        <v>27.49</v>
      </c>
    </row>
    <row r="978" spans="1:2" x14ac:dyDescent="0.2">
      <c r="A978">
        <v>98248</v>
      </c>
      <c r="B978">
        <v>21.05</v>
      </c>
    </row>
    <row r="979" spans="1:2" x14ac:dyDescent="0.2">
      <c r="A979">
        <v>98248</v>
      </c>
      <c r="B979">
        <v>34.53</v>
      </c>
    </row>
    <row r="980" spans="1:2" x14ac:dyDescent="0.2">
      <c r="A980">
        <v>98248</v>
      </c>
      <c r="B980">
        <v>24.21</v>
      </c>
    </row>
    <row r="981" spans="1:2" x14ac:dyDescent="0.2">
      <c r="A981">
        <v>98248</v>
      </c>
      <c r="B981">
        <v>50.56</v>
      </c>
    </row>
    <row r="982" spans="1:2" x14ac:dyDescent="0.2">
      <c r="A982">
        <v>98248</v>
      </c>
      <c r="B982">
        <v>23.3</v>
      </c>
    </row>
    <row r="983" spans="1:2" x14ac:dyDescent="0.2">
      <c r="A983">
        <v>98248</v>
      </c>
      <c r="B983">
        <v>40.58</v>
      </c>
    </row>
    <row r="984" spans="1:2" x14ac:dyDescent="0.2">
      <c r="A984">
        <v>98248</v>
      </c>
      <c r="B984">
        <v>37.86</v>
      </c>
    </row>
    <row r="985" spans="1:2" x14ac:dyDescent="0.2">
      <c r="A985">
        <v>98248</v>
      </c>
      <c r="B985">
        <v>29.75</v>
      </c>
    </row>
    <row r="986" spans="1:2" x14ac:dyDescent="0.2">
      <c r="A986">
        <v>98248</v>
      </c>
      <c r="B986">
        <v>38.1</v>
      </c>
    </row>
    <row r="987" spans="1:2" x14ac:dyDescent="0.2">
      <c r="A987">
        <v>98248</v>
      </c>
      <c r="B987">
        <v>21.54</v>
      </c>
    </row>
    <row r="988" spans="1:2" x14ac:dyDescent="0.2">
      <c r="A988">
        <v>98248</v>
      </c>
      <c r="B988">
        <v>28.01</v>
      </c>
    </row>
    <row r="989" spans="1:2" x14ac:dyDescent="0.2">
      <c r="A989">
        <v>98248</v>
      </c>
      <c r="B989">
        <v>31.27</v>
      </c>
    </row>
    <row r="990" spans="1:2" x14ac:dyDescent="0.2">
      <c r="A990">
        <v>98248</v>
      </c>
      <c r="B990">
        <v>50.66</v>
      </c>
    </row>
    <row r="991" spans="1:2" x14ac:dyDescent="0.2">
      <c r="A991">
        <v>98248</v>
      </c>
      <c r="B991">
        <v>25.27</v>
      </c>
    </row>
    <row r="992" spans="1:2" x14ac:dyDescent="0.2">
      <c r="A992">
        <v>98248</v>
      </c>
      <c r="B992">
        <v>28.26</v>
      </c>
    </row>
    <row r="993" spans="1:2" x14ac:dyDescent="0.2">
      <c r="A993">
        <v>98248</v>
      </c>
      <c r="B993">
        <v>41.16</v>
      </c>
    </row>
    <row r="994" spans="1:2" x14ac:dyDescent="0.2">
      <c r="A994">
        <v>98248</v>
      </c>
      <c r="B994">
        <v>47.5</v>
      </c>
    </row>
    <row r="995" spans="1:2" x14ac:dyDescent="0.2">
      <c r="A995">
        <v>98248</v>
      </c>
      <c r="B995">
        <v>30.09</v>
      </c>
    </row>
    <row r="996" spans="1:2" x14ac:dyDescent="0.2">
      <c r="A996">
        <v>98248</v>
      </c>
      <c r="B996">
        <v>29.48</v>
      </c>
    </row>
    <row r="997" spans="1:2" x14ac:dyDescent="0.2">
      <c r="A997">
        <v>98812</v>
      </c>
      <c r="B997">
        <v>11.08</v>
      </c>
    </row>
    <row r="998" spans="1:2" x14ac:dyDescent="0.2">
      <c r="A998">
        <v>98812</v>
      </c>
      <c r="B998">
        <v>34.15</v>
      </c>
    </row>
    <row r="999" spans="1:2" x14ac:dyDescent="0.2">
      <c r="A999">
        <v>98812</v>
      </c>
      <c r="B999">
        <v>36.01</v>
      </c>
    </row>
    <row r="1000" spans="1:2" x14ac:dyDescent="0.2">
      <c r="A1000">
        <v>98812</v>
      </c>
      <c r="B1000">
        <v>22.25</v>
      </c>
    </row>
    <row r="1001" spans="1:2" x14ac:dyDescent="0.2">
      <c r="A1001">
        <v>98812</v>
      </c>
      <c r="B1001">
        <v>33.47</v>
      </c>
    </row>
    <row r="1002" spans="1:2" x14ac:dyDescent="0.2">
      <c r="A1002">
        <v>98812</v>
      </c>
      <c r="B1002">
        <v>43.13</v>
      </c>
    </row>
    <row r="1003" spans="1:2" x14ac:dyDescent="0.2">
      <c r="A1003">
        <v>98812</v>
      </c>
      <c r="B1003">
        <v>28.49</v>
      </c>
    </row>
    <row r="1004" spans="1:2" x14ac:dyDescent="0.2">
      <c r="A1004">
        <v>98812</v>
      </c>
      <c r="B1004">
        <v>31.04</v>
      </c>
    </row>
    <row r="1005" spans="1:2" x14ac:dyDescent="0.2">
      <c r="A1005">
        <v>98812</v>
      </c>
      <c r="B1005">
        <v>27.47</v>
      </c>
    </row>
    <row r="1006" spans="1:2" x14ac:dyDescent="0.2">
      <c r="A1006">
        <v>98812</v>
      </c>
      <c r="B1006">
        <v>42.44</v>
      </c>
    </row>
    <row r="1007" spans="1:2" x14ac:dyDescent="0.2">
      <c r="A1007">
        <v>98812</v>
      </c>
      <c r="B1007">
        <v>23.74</v>
      </c>
    </row>
    <row r="1008" spans="1:2" x14ac:dyDescent="0.2">
      <c r="A1008">
        <v>98812</v>
      </c>
      <c r="B1008">
        <v>31.53</v>
      </c>
    </row>
    <row r="1009" spans="1:2" x14ac:dyDescent="0.2">
      <c r="A1009">
        <v>98812</v>
      </c>
      <c r="B1009">
        <v>28.46</v>
      </c>
    </row>
    <row r="1010" spans="1:2" x14ac:dyDescent="0.2">
      <c r="A1010">
        <v>98812</v>
      </c>
      <c r="B1010">
        <v>50.94</v>
      </c>
    </row>
    <row r="1011" spans="1:2" x14ac:dyDescent="0.2">
      <c r="A1011">
        <v>98812</v>
      </c>
      <c r="B1011">
        <v>41.21</v>
      </c>
    </row>
    <row r="1012" spans="1:2" x14ac:dyDescent="0.2">
      <c r="A1012">
        <v>98812</v>
      </c>
      <c r="B1012">
        <v>16.75</v>
      </c>
    </row>
    <row r="1013" spans="1:2" x14ac:dyDescent="0.2">
      <c r="A1013">
        <v>98812</v>
      </c>
      <c r="B1013">
        <v>20.37</v>
      </c>
    </row>
    <row r="1014" spans="1:2" x14ac:dyDescent="0.2">
      <c r="A1014">
        <v>98812</v>
      </c>
      <c r="B1014">
        <v>38.64</v>
      </c>
    </row>
    <row r="1015" spans="1:2" x14ac:dyDescent="0.2">
      <c r="A1015">
        <v>98812</v>
      </c>
      <c r="B1015">
        <v>26.95</v>
      </c>
    </row>
    <row r="1016" spans="1:2" x14ac:dyDescent="0.2">
      <c r="A1016">
        <v>98812</v>
      </c>
      <c r="B1016">
        <v>17.420000000000002</v>
      </c>
    </row>
    <row r="1017" spans="1:2" x14ac:dyDescent="0.2">
      <c r="A1017">
        <v>98812</v>
      </c>
      <c r="B1017">
        <v>32.049999999999997</v>
      </c>
    </row>
    <row r="1018" spans="1:2" x14ac:dyDescent="0.2">
      <c r="A1018">
        <v>98812</v>
      </c>
      <c r="B1018">
        <v>41.54</v>
      </c>
    </row>
    <row r="1019" spans="1:2" x14ac:dyDescent="0.2">
      <c r="A1019">
        <v>99223</v>
      </c>
      <c r="B1019">
        <v>41.05</v>
      </c>
    </row>
    <row r="1020" spans="1:2" x14ac:dyDescent="0.2">
      <c r="A1020">
        <v>99223</v>
      </c>
      <c r="B1020">
        <v>26.55</v>
      </c>
    </row>
    <row r="1021" spans="1:2" x14ac:dyDescent="0.2">
      <c r="A1021">
        <v>99223</v>
      </c>
      <c r="B1021">
        <v>30.14</v>
      </c>
    </row>
    <row r="1022" spans="1:2" x14ac:dyDescent="0.2">
      <c r="A1022">
        <v>99223</v>
      </c>
      <c r="B1022">
        <v>23.61</v>
      </c>
    </row>
    <row r="1023" spans="1:2" x14ac:dyDescent="0.2">
      <c r="A1023">
        <v>99223</v>
      </c>
      <c r="B1023">
        <v>34.79</v>
      </c>
    </row>
    <row r="1024" spans="1:2" x14ac:dyDescent="0.2">
      <c r="A1024">
        <v>99223</v>
      </c>
      <c r="B1024">
        <v>20.52</v>
      </c>
    </row>
    <row r="1025" spans="1:2" x14ac:dyDescent="0.2">
      <c r="A1025">
        <v>99223</v>
      </c>
      <c r="B1025">
        <v>38.46</v>
      </c>
    </row>
    <row r="1026" spans="1:2" x14ac:dyDescent="0.2">
      <c r="A1026">
        <v>99223</v>
      </c>
      <c r="B1026">
        <v>33.26</v>
      </c>
    </row>
    <row r="1027" spans="1:2" x14ac:dyDescent="0.2">
      <c r="A1027">
        <v>99223</v>
      </c>
      <c r="B1027">
        <v>23.76</v>
      </c>
    </row>
    <row r="1028" spans="1:2" x14ac:dyDescent="0.2">
      <c r="A1028">
        <v>99223</v>
      </c>
      <c r="B1028">
        <v>29.93</v>
      </c>
    </row>
    <row r="1029" spans="1:2" x14ac:dyDescent="0.2">
      <c r="A1029">
        <v>99223</v>
      </c>
      <c r="B1029">
        <v>44.16</v>
      </c>
    </row>
    <row r="1030" spans="1:2" x14ac:dyDescent="0.2">
      <c r="A1030">
        <v>99223</v>
      </c>
      <c r="B1030">
        <v>30.54</v>
      </c>
    </row>
    <row r="1031" spans="1:2" x14ac:dyDescent="0.2">
      <c r="A1031">
        <v>99223</v>
      </c>
      <c r="B1031">
        <v>48.57</v>
      </c>
    </row>
    <row r="1032" spans="1:2" x14ac:dyDescent="0.2">
      <c r="A1032">
        <v>99223</v>
      </c>
      <c r="B1032">
        <v>32.61</v>
      </c>
    </row>
    <row r="1033" spans="1:2" x14ac:dyDescent="0.2">
      <c r="A1033">
        <v>99223</v>
      </c>
      <c r="B1033">
        <v>30.27</v>
      </c>
    </row>
    <row r="1034" spans="1:2" x14ac:dyDescent="0.2">
      <c r="A1034">
        <v>99223</v>
      </c>
      <c r="B1034">
        <v>27.46</v>
      </c>
    </row>
    <row r="1035" spans="1:2" x14ac:dyDescent="0.2">
      <c r="A1035">
        <v>99223</v>
      </c>
      <c r="B1035">
        <v>21.27</v>
      </c>
    </row>
    <row r="1036" spans="1:2" x14ac:dyDescent="0.2">
      <c r="A1036">
        <v>99223</v>
      </c>
      <c r="B1036">
        <v>38.53</v>
      </c>
    </row>
    <row r="1037" spans="1:2" x14ac:dyDescent="0.2">
      <c r="A1037">
        <v>99223</v>
      </c>
      <c r="B1037">
        <v>23.04</v>
      </c>
    </row>
    <row r="1038" spans="1:2" x14ac:dyDescent="0.2">
      <c r="A1038">
        <v>99223</v>
      </c>
      <c r="B1038">
        <v>28.66</v>
      </c>
    </row>
    <row r="1039" spans="1:2" x14ac:dyDescent="0.2">
      <c r="A1039">
        <v>99223</v>
      </c>
      <c r="B1039">
        <v>42.22</v>
      </c>
    </row>
    <row r="1040" spans="1:2" x14ac:dyDescent="0.2">
      <c r="A1040">
        <v>99350</v>
      </c>
      <c r="B1040">
        <v>28.05</v>
      </c>
    </row>
    <row r="1041" spans="1:2" x14ac:dyDescent="0.2">
      <c r="A1041">
        <v>99350</v>
      </c>
      <c r="B1041">
        <v>23.57</v>
      </c>
    </row>
    <row r="1042" spans="1:2" x14ac:dyDescent="0.2">
      <c r="A1042">
        <v>99350</v>
      </c>
      <c r="B1042">
        <v>31.46</v>
      </c>
    </row>
    <row r="1043" spans="1:2" x14ac:dyDescent="0.2">
      <c r="A1043">
        <v>99350</v>
      </c>
      <c r="B1043">
        <v>41.06</v>
      </c>
    </row>
    <row r="1044" spans="1:2" x14ac:dyDescent="0.2">
      <c r="A1044">
        <v>99350</v>
      </c>
      <c r="B1044">
        <v>27.84</v>
      </c>
    </row>
    <row r="1045" spans="1:2" x14ac:dyDescent="0.2">
      <c r="A1045">
        <v>99350</v>
      </c>
      <c r="B1045">
        <v>33.53</v>
      </c>
    </row>
    <row r="1046" spans="1:2" x14ac:dyDescent="0.2">
      <c r="A1046">
        <v>99350</v>
      </c>
      <c r="B1046">
        <v>27.54</v>
      </c>
    </row>
    <row r="1047" spans="1:2" x14ac:dyDescent="0.2">
      <c r="A1047">
        <v>99350</v>
      </c>
      <c r="B1047">
        <v>50.16</v>
      </c>
    </row>
    <row r="1048" spans="1:2" x14ac:dyDescent="0.2">
      <c r="A1048">
        <v>99350</v>
      </c>
      <c r="B1048">
        <v>29.35</v>
      </c>
    </row>
    <row r="1049" spans="1:2" x14ac:dyDescent="0.2">
      <c r="A1049">
        <v>99350</v>
      </c>
      <c r="B1049">
        <v>44.55</v>
      </c>
    </row>
    <row r="1050" spans="1:2" x14ac:dyDescent="0.2">
      <c r="A1050">
        <v>99350</v>
      </c>
      <c r="B1050">
        <v>38.47</v>
      </c>
    </row>
    <row r="1051" spans="1:2" x14ac:dyDescent="0.2">
      <c r="A1051">
        <v>99350</v>
      </c>
      <c r="B1051">
        <v>25.75</v>
      </c>
    </row>
    <row r="1052" spans="1:2" x14ac:dyDescent="0.2">
      <c r="A1052">
        <v>99350</v>
      </c>
      <c r="B1052">
        <v>33.49</v>
      </c>
    </row>
    <row r="1053" spans="1:2" x14ac:dyDescent="0.2">
      <c r="A1053">
        <v>99350</v>
      </c>
      <c r="B1053">
        <v>48.31</v>
      </c>
    </row>
    <row r="1054" spans="1:2" x14ac:dyDescent="0.2">
      <c r="A1054">
        <v>99350</v>
      </c>
      <c r="B1054">
        <v>37.18</v>
      </c>
    </row>
    <row r="1055" spans="1:2" x14ac:dyDescent="0.2">
      <c r="A1055">
        <v>99350</v>
      </c>
      <c r="B1055">
        <v>20.49</v>
      </c>
    </row>
    <row r="1056" spans="1:2" x14ac:dyDescent="0.2">
      <c r="A1056">
        <v>99350</v>
      </c>
      <c r="B1056">
        <v>27.58</v>
      </c>
    </row>
    <row r="1057" spans="1:2" x14ac:dyDescent="0.2">
      <c r="A1057">
        <v>99350</v>
      </c>
      <c r="B1057">
        <v>45.87</v>
      </c>
    </row>
    <row r="1058" spans="1:2" x14ac:dyDescent="0.2">
      <c r="A1058">
        <v>99350</v>
      </c>
      <c r="B1058">
        <v>14.45</v>
      </c>
    </row>
    <row r="1059" spans="1:2" x14ac:dyDescent="0.2">
      <c r="A1059">
        <v>99350</v>
      </c>
      <c r="B1059">
        <v>9.59</v>
      </c>
    </row>
    <row r="1060" spans="1:2" x14ac:dyDescent="0.2">
      <c r="A1060">
        <v>99350</v>
      </c>
      <c r="B1060">
        <v>43</v>
      </c>
    </row>
    <row r="1061" spans="1:2" x14ac:dyDescent="0.2">
      <c r="A1061">
        <v>99350</v>
      </c>
      <c r="B1061">
        <v>30.51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7CE694F7-E665-432D-A8E2-3C5950DEE6D3}">
          <xm:f>#REF!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14.1640625" customWidth="1"/>
    <col min="2" max="3" width="17.1640625" customWidth="1"/>
  </cols>
  <sheetData>
    <row r="1" spans="1:4" x14ac:dyDescent="0.2">
      <c r="A1" s="1" t="s">
        <v>0</v>
      </c>
      <c r="B1" s="1" t="s">
        <v>64</v>
      </c>
      <c r="C1" s="1" t="s">
        <v>65</v>
      </c>
      <c r="D1" s="1"/>
    </row>
    <row r="2" spans="1:4" x14ac:dyDescent="0.2">
      <c r="A2">
        <v>59019</v>
      </c>
      <c r="B2" s="2" t="s">
        <v>2</v>
      </c>
      <c r="C2" s="2" t="s">
        <v>3</v>
      </c>
    </row>
    <row r="3" spans="1:4" x14ac:dyDescent="0.2">
      <c r="A3">
        <v>59634</v>
      </c>
      <c r="B3" s="2" t="s">
        <v>4</v>
      </c>
      <c r="C3" s="2" t="s">
        <v>3</v>
      </c>
    </row>
    <row r="4" spans="1:4" x14ac:dyDescent="0.2">
      <c r="A4">
        <v>59808</v>
      </c>
      <c r="B4" s="2" t="s">
        <v>5</v>
      </c>
      <c r="C4" s="2" t="s">
        <v>3</v>
      </c>
    </row>
    <row r="5" spans="1:4" x14ac:dyDescent="0.2">
      <c r="A5">
        <v>81321</v>
      </c>
      <c r="B5" s="2" t="s">
        <v>6</v>
      </c>
      <c r="C5" s="2" t="s">
        <v>7</v>
      </c>
    </row>
    <row r="6" spans="1:4" x14ac:dyDescent="0.2">
      <c r="A6">
        <v>81416</v>
      </c>
      <c r="B6" s="2" t="s">
        <v>8</v>
      </c>
      <c r="C6" s="2" t="s">
        <v>7</v>
      </c>
    </row>
    <row r="7" spans="1:4" x14ac:dyDescent="0.2">
      <c r="A7">
        <v>81504</v>
      </c>
      <c r="B7" s="2" t="s">
        <v>9</v>
      </c>
      <c r="C7" s="2" t="s">
        <v>7</v>
      </c>
    </row>
    <row r="8" spans="1:4" x14ac:dyDescent="0.2">
      <c r="A8">
        <v>81650</v>
      </c>
      <c r="B8" s="2" t="s">
        <v>10</v>
      </c>
      <c r="C8" s="2" t="s">
        <v>7</v>
      </c>
    </row>
    <row r="9" spans="1:4" x14ac:dyDescent="0.2">
      <c r="A9">
        <v>83014</v>
      </c>
      <c r="B9" s="2" t="s">
        <v>11</v>
      </c>
      <c r="C9" s="2" t="s">
        <v>12</v>
      </c>
    </row>
    <row r="10" spans="1:4" x14ac:dyDescent="0.2">
      <c r="A10">
        <v>83338</v>
      </c>
      <c r="B10" s="2" t="s">
        <v>13</v>
      </c>
      <c r="C10" s="2" t="s">
        <v>14</v>
      </c>
    </row>
    <row r="11" spans="1:4" x14ac:dyDescent="0.2">
      <c r="A11">
        <v>83544</v>
      </c>
      <c r="B11" s="2" t="s">
        <v>15</v>
      </c>
      <c r="C11" s="2" t="s">
        <v>14</v>
      </c>
    </row>
    <row r="12" spans="1:4" x14ac:dyDescent="0.2">
      <c r="A12">
        <v>83638</v>
      </c>
      <c r="B12" s="2" t="s">
        <v>16</v>
      </c>
      <c r="C12" s="2" t="s">
        <v>14</v>
      </c>
    </row>
    <row r="13" spans="1:4" x14ac:dyDescent="0.2">
      <c r="A13">
        <v>83706</v>
      </c>
      <c r="B13" s="2" t="s">
        <v>17</v>
      </c>
      <c r="C13" s="2" t="s">
        <v>14</v>
      </c>
    </row>
    <row r="14" spans="1:4" x14ac:dyDescent="0.2">
      <c r="A14">
        <v>84003</v>
      </c>
      <c r="B14" s="2" t="s">
        <v>18</v>
      </c>
      <c r="C14" s="2" t="s">
        <v>19</v>
      </c>
    </row>
    <row r="15" spans="1:4" x14ac:dyDescent="0.2">
      <c r="A15">
        <v>84414</v>
      </c>
      <c r="B15" s="2" t="s">
        <v>20</v>
      </c>
      <c r="C15" s="2" t="s">
        <v>19</v>
      </c>
    </row>
    <row r="16" spans="1:4" x14ac:dyDescent="0.2">
      <c r="A16">
        <v>84532</v>
      </c>
      <c r="B16" s="2" t="s">
        <v>21</v>
      </c>
      <c r="C16" s="2" t="s">
        <v>19</v>
      </c>
    </row>
    <row r="17" spans="1:3" x14ac:dyDescent="0.2">
      <c r="A17">
        <v>84780</v>
      </c>
      <c r="B17" s="2" t="s">
        <v>22</v>
      </c>
      <c r="C17" s="2" t="s">
        <v>19</v>
      </c>
    </row>
    <row r="18" spans="1:3" x14ac:dyDescent="0.2">
      <c r="A18">
        <v>85012</v>
      </c>
      <c r="B18" s="2" t="s">
        <v>23</v>
      </c>
      <c r="C18" s="2" t="s">
        <v>24</v>
      </c>
    </row>
    <row r="19" spans="1:3" x14ac:dyDescent="0.2">
      <c r="A19">
        <v>86004</v>
      </c>
      <c r="B19" s="2" t="s">
        <v>25</v>
      </c>
      <c r="C19" s="2" t="s">
        <v>24</v>
      </c>
    </row>
    <row r="20" spans="1:3" x14ac:dyDescent="0.2">
      <c r="A20">
        <v>86042</v>
      </c>
      <c r="B20" s="2" t="s">
        <v>26</v>
      </c>
      <c r="C20" s="2" t="s">
        <v>24</v>
      </c>
    </row>
    <row r="21" spans="1:3" x14ac:dyDescent="0.2">
      <c r="A21">
        <v>86314</v>
      </c>
      <c r="B21" s="2" t="s">
        <v>27</v>
      </c>
      <c r="C21" s="2" t="s">
        <v>24</v>
      </c>
    </row>
    <row r="22" spans="1:3" x14ac:dyDescent="0.2">
      <c r="A22">
        <v>86426</v>
      </c>
      <c r="B22" s="2" t="s">
        <v>28</v>
      </c>
      <c r="C22" s="2" t="s">
        <v>24</v>
      </c>
    </row>
    <row r="23" spans="1:3" x14ac:dyDescent="0.2">
      <c r="A23">
        <v>89104</v>
      </c>
      <c r="B23" s="2" t="s">
        <v>29</v>
      </c>
      <c r="C23" s="2" t="s">
        <v>30</v>
      </c>
    </row>
    <row r="24" spans="1:3" x14ac:dyDescent="0.2">
      <c r="A24">
        <v>89408</v>
      </c>
      <c r="B24" s="2" t="s">
        <v>31</v>
      </c>
      <c r="C24" s="2" t="s">
        <v>30</v>
      </c>
    </row>
    <row r="25" spans="1:3" x14ac:dyDescent="0.2">
      <c r="A25">
        <v>89509</v>
      </c>
      <c r="B25" s="2" t="s">
        <v>32</v>
      </c>
      <c r="C25" s="2" t="s">
        <v>30</v>
      </c>
    </row>
    <row r="26" spans="1:3" x14ac:dyDescent="0.2">
      <c r="A26">
        <v>89822</v>
      </c>
      <c r="B26" s="2" t="s">
        <v>33</v>
      </c>
      <c r="C26" s="2" t="s">
        <v>30</v>
      </c>
    </row>
    <row r="27" spans="1:3" x14ac:dyDescent="0.2">
      <c r="A27">
        <v>90061</v>
      </c>
      <c r="B27" s="2" t="s">
        <v>34</v>
      </c>
      <c r="C27" s="2" t="s">
        <v>35</v>
      </c>
    </row>
    <row r="28" spans="1:3" x14ac:dyDescent="0.2">
      <c r="A28">
        <v>93030</v>
      </c>
      <c r="B28" s="2" t="s">
        <v>36</v>
      </c>
      <c r="C28" s="2" t="s">
        <v>35</v>
      </c>
    </row>
    <row r="29" spans="1:3" x14ac:dyDescent="0.2">
      <c r="A29">
        <v>93427</v>
      </c>
      <c r="B29" s="2" t="s">
        <v>37</v>
      </c>
      <c r="C29" s="2" t="s">
        <v>35</v>
      </c>
    </row>
    <row r="30" spans="1:3" x14ac:dyDescent="0.2">
      <c r="A30">
        <v>93703</v>
      </c>
      <c r="B30" s="2" t="s">
        <v>38</v>
      </c>
      <c r="C30" s="2" t="s">
        <v>35</v>
      </c>
    </row>
    <row r="31" spans="1:3" x14ac:dyDescent="0.2">
      <c r="A31">
        <v>93906</v>
      </c>
      <c r="B31" s="2" t="s">
        <v>39</v>
      </c>
      <c r="C31" s="2" t="s">
        <v>35</v>
      </c>
    </row>
    <row r="32" spans="1:3" x14ac:dyDescent="0.2">
      <c r="A32">
        <v>94403</v>
      </c>
      <c r="B32" s="2" t="s">
        <v>40</v>
      </c>
      <c r="C32" s="2" t="s">
        <v>35</v>
      </c>
    </row>
    <row r="33" spans="1:3" x14ac:dyDescent="0.2">
      <c r="A33">
        <v>95051</v>
      </c>
      <c r="B33" s="2" t="s">
        <v>41</v>
      </c>
      <c r="C33" s="2" t="s">
        <v>35</v>
      </c>
    </row>
    <row r="34" spans="1:3" x14ac:dyDescent="0.2">
      <c r="A34">
        <v>95993</v>
      </c>
      <c r="B34" s="2" t="s">
        <v>42</v>
      </c>
      <c r="C34" s="2" t="s">
        <v>35</v>
      </c>
    </row>
    <row r="35" spans="1:3" x14ac:dyDescent="0.2">
      <c r="A35">
        <v>96130</v>
      </c>
      <c r="B35" s="2" t="s">
        <v>43</v>
      </c>
      <c r="C35" s="2" t="s">
        <v>35</v>
      </c>
    </row>
    <row r="36" spans="1:3" x14ac:dyDescent="0.2">
      <c r="A36">
        <v>97002</v>
      </c>
      <c r="B36" s="2" t="s">
        <v>44</v>
      </c>
      <c r="C36" s="2" t="s">
        <v>45</v>
      </c>
    </row>
    <row r="37" spans="1:3" x14ac:dyDescent="0.2">
      <c r="A37">
        <v>97524</v>
      </c>
      <c r="B37" s="2" t="s">
        <v>46</v>
      </c>
      <c r="C37" s="2" t="s">
        <v>45</v>
      </c>
    </row>
    <row r="38" spans="1:3" x14ac:dyDescent="0.2">
      <c r="A38">
        <v>97862</v>
      </c>
      <c r="B38" s="2" t="s">
        <v>47</v>
      </c>
      <c r="C38" s="2" t="s">
        <v>45</v>
      </c>
    </row>
    <row r="39" spans="1:3" x14ac:dyDescent="0.2">
      <c r="A39">
        <v>97920</v>
      </c>
      <c r="B39" s="2" t="s">
        <v>48</v>
      </c>
      <c r="C39" s="2" t="s">
        <v>45</v>
      </c>
    </row>
    <row r="40" spans="1:3" x14ac:dyDescent="0.2">
      <c r="A40">
        <v>98059</v>
      </c>
      <c r="B40" s="2" t="s">
        <v>49</v>
      </c>
      <c r="C40" s="2" t="s">
        <v>50</v>
      </c>
    </row>
    <row r="41" spans="1:3" x14ac:dyDescent="0.2">
      <c r="A41">
        <v>98248</v>
      </c>
      <c r="B41" s="2" t="s">
        <v>51</v>
      </c>
      <c r="C41" s="2" t="s">
        <v>50</v>
      </c>
    </row>
    <row r="42" spans="1:3" x14ac:dyDescent="0.2">
      <c r="A42">
        <v>98812</v>
      </c>
      <c r="B42" s="2" t="s">
        <v>52</v>
      </c>
      <c r="C42" s="2" t="s">
        <v>50</v>
      </c>
    </row>
    <row r="43" spans="1:3" x14ac:dyDescent="0.2">
      <c r="A43">
        <v>99223</v>
      </c>
      <c r="B43" s="2" t="s">
        <v>53</v>
      </c>
      <c r="C43" s="2" t="s">
        <v>50</v>
      </c>
    </row>
    <row r="44" spans="1:3" x14ac:dyDescent="0.2">
      <c r="A44">
        <v>99350</v>
      </c>
      <c r="B44" s="2" t="s">
        <v>54</v>
      </c>
      <c r="C44" s="2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4.1640625" bestFit="1" customWidth="1"/>
    <col min="2" max="2" width="15.33203125" customWidth="1"/>
    <col min="3" max="3" width="18" customWidth="1"/>
  </cols>
  <sheetData>
    <row r="1" spans="1:3" x14ac:dyDescent="0.2">
      <c r="A1" s="1" t="s">
        <v>0</v>
      </c>
      <c r="B1" s="1" t="s">
        <v>79</v>
      </c>
      <c r="C1" s="1" t="s">
        <v>80</v>
      </c>
    </row>
    <row r="2" spans="1:3" x14ac:dyDescent="0.2">
      <c r="A2">
        <v>59019</v>
      </c>
      <c r="B2">
        <v>779.83999999999992</v>
      </c>
      <c r="C2">
        <v>30</v>
      </c>
    </row>
    <row r="3" spans="1:3" x14ac:dyDescent="0.2">
      <c r="A3">
        <v>59634</v>
      </c>
      <c r="B3">
        <v>730.32999999999993</v>
      </c>
      <c r="C3">
        <v>29</v>
      </c>
    </row>
    <row r="4" spans="1:3" x14ac:dyDescent="0.2">
      <c r="A4">
        <v>59808</v>
      </c>
      <c r="B4">
        <v>568.34</v>
      </c>
      <c r="C4">
        <v>23</v>
      </c>
    </row>
    <row r="5" spans="1:3" x14ac:dyDescent="0.2">
      <c r="A5">
        <v>81321</v>
      </c>
      <c r="B5">
        <v>759</v>
      </c>
      <c r="C5">
        <v>32</v>
      </c>
    </row>
    <row r="6" spans="1:3" x14ac:dyDescent="0.2">
      <c r="A6">
        <v>81416</v>
      </c>
      <c r="B6">
        <v>976.23</v>
      </c>
      <c r="C6">
        <v>37</v>
      </c>
    </row>
    <row r="7" spans="1:3" x14ac:dyDescent="0.2">
      <c r="A7">
        <v>81504</v>
      </c>
      <c r="B7">
        <v>860.19000000000028</v>
      </c>
      <c r="C7">
        <v>32</v>
      </c>
    </row>
    <row r="8" spans="1:3" x14ac:dyDescent="0.2">
      <c r="A8">
        <v>81650</v>
      </c>
      <c r="B8">
        <v>585.81000000000006</v>
      </c>
      <c r="C8">
        <v>22</v>
      </c>
    </row>
    <row r="9" spans="1:3" x14ac:dyDescent="0.2">
      <c r="A9">
        <v>83014</v>
      </c>
      <c r="B9">
        <v>412.08000000000004</v>
      </c>
      <c r="C9">
        <v>15</v>
      </c>
    </row>
    <row r="10" spans="1:3" x14ac:dyDescent="0.2">
      <c r="A10">
        <v>83338</v>
      </c>
      <c r="B10">
        <v>546.12999999999988</v>
      </c>
      <c r="C10">
        <v>21</v>
      </c>
    </row>
    <row r="11" spans="1:3" x14ac:dyDescent="0.2">
      <c r="A11">
        <v>83544</v>
      </c>
      <c r="B11">
        <v>599.47</v>
      </c>
      <c r="C11">
        <v>22</v>
      </c>
    </row>
    <row r="12" spans="1:3" x14ac:dyDescent="0.2">
      <c r="A12">
        <v>83638</v>
      </c>
      <c r="B12">
        <v>853.4100000000002</v>
      </c>
      <c r="C12">
        <v>30</v>
      </c>
    </row>
    <row r="13" spans="1:3" x14ac:dyDescent="0.2">
      <c r="A13">
        <v>83706</v>
      </c>
      <c r="B13">
        <v>518.5200000000001</v>
      </c>
      <c r="C13">
        <v>18</v>
      </c>
    </row>
    <row r="14" spans="1:3" x14ac:dyDescent="0.2">
      <c r="A14">
        <v>84003</v>
      </c>
      <c r="B14">
        <v>706.61</v>
      </c>
      <c r="C14">
        <v>25</v>
      </c>
    </row>
    <row r="15" spans="1:3" x14ac:dyDescent="0.2">
      <c r="A15">
        <v>84414</v>
      </c>
      <c r="B15">
        <v>613.67000000000007</v>
      </c>
      <c r="C15">
        <v>22</v>
      </c>
    </row>
    <row r="16" spans="1:3" x14ac:dyDescent="0.2">
      <c r="A16">
        <v>84532</v>
      </c>
      <c r="B16">
        <v>339.5</v>
      </c>
      <c r="C16">
        <v>11</v>
      </c>
    </row>
    <row r="17" spans="1:3" x14ac:dyDescent="0.2">
      <c r="A17">
        <v>84780</v>
      </c>
      <c r="B17">
        <v>648.88</v>
      </c>
      <c r="C17">
        <v>22</v>
      </c>
    </row>
    <row r="18" spans="1:3" x14ac:dyDescent="0.2">
      <c r="A18">
        <v>85012</v>
      </c>
      <c r="B18">
        <v>685.8499999999998</v>
      </c>
      <c r="C18">
        <v>25</v>
      </c>
    </row>
    <row r="19" spans="1:3" x14ac:dyDescent="0.2">
      <c r="A19">
        <v>86004</v>
      </c>
      <c r="B19">
        <v>654.43000000000006</v>
      </c>
      <c r="C19">
        <v>24</v>
      </c>
    </row>
    <row r="20" spans="1:3" x14ac:dyDescent="0.2">
      <c r="A20">
        <v>86042</v>
      </c>
      <c r="B20">
        <v>522.40000000000009</v>
      </c>
      <c r="C20">
        <v>18</v>
      </c>
    </row>
    <row r="21" spans="1:3" x14ac:dyDescent="0.2">
      <c r="A21">
        <v>86314</v>
      </c>
      <c r="B21">
        <v>788.67000000000019</v>
      </c>
      <c r="C21">
        <v>27</v>
      </c>
    </row>
    <row r="22" spans="1:3" x14ac:dyDescent="0.2">
      <c r="A22">
        <v>86426</v>
      </c>
      <c r="B22">
        <v>743.05000000000007</v>
      </c>
      <c r="C22">
        <v>26</v>
      </c>
    </row>
    <row r="23" spans="1:3" x14ac:dyDescent="0.2">
      <c r="A23">
        <v>89104</v>
      </c>
      <c r="B23">
        <v>1033.9699999999998</v>
      </c>
      <c r="C23">
        <v>34</v>
      </c>
    </row>
    <row r="24" spans="1:3" x14ac:dyDescent="0.2">
      <c r="A24">
        <v>89408</v>
      </c>
      <c r="B24">
        <v>664.08</v>
      </c>
      <c r="C24">
        <v>22</v>
      </c>
    </row>
    <row r="25" spans="1:3" x14ac:dyDescent="0.2">
      <c r="A25">
        <v>89509</v>
      </c>
      <c r="B25">
        <v>707.57</v>
      </c>
      <c r="C25">
        <v>24</v>
      </c>
    </row>
    <row r="26" spans="1:3" x14ac:dyDescent="0.2">
      <c r="A26">
        <v>89822</v>
      </c>
      <c r="B26">
        <v>449.57000000000005</v>
      </c>
      <c r="C26">
        <v>15</v>
      </c>
    </row>
    <row r="27" spans="1:3" x14ac:dyDescent="0.2">
      <c r="A27">
        <v>90061</v>
      </c>
      <c r="B27">
        <v>1106.2900000000002</v>
      </c>
      <c r="C27">
        <v>38</v>
      </c>
    </row>
    <row r="28" spans="1:3" x14ac:dyDescent="0.2">
      <c r="A28">
        <v>93030</v>
      </c>
      <c r="B28">
        <v>716.37</v>
      </c>
      <c r="C28">
        <v>25</v>
      </c>
    </row>
    <row r="29" spans="1:3" x14ac:dyDescent="0.2">
      <c r="A29">
        <v>93427</v>
      </c>
      <c r="B29">
        <v>571.88000000000011</v>
      </c>
      <c r="C29">
        <v>18</v>
      </c>
    </row>
    <row r="30" spans="1:3" x14ac:dyDescent="0.2">
      <c r="A30">
        <v>93703</v>
      </c>
      <c r="B30">
        <v>1164.45</v>
      </c>
      <c r="C30">
        <v>39</v>
      </c>
    </row>
    <row r="31" spans="1:3" x14ac:dyDescent="0.2">
      <c r="A31">
        <v>93906</v>
      </c>
      <c r="B31">
        <v>894.16999999999985</v>
      </c>
      <c r="C31">
        <v>30</v>
      </c>
    </row>
    <row r="32" spans="1:3" x14ac:dyDescent="0.2">
      <c r="A32">
        <v>94403</v>
      </c>
      <c r="B32">
        <v>724.06999999999994</v>
      </c>
      <c r="C32">
        <v>24</v>
      </c>
    </row>
    <row r="33" spans="1:3" x14ac:dyDescent="0.2">
      <c r="A33">
        <v>95051</v>
      </c>
      <c r="B33">
        <v>806.2600000000001</v>
      </c>
      <c r="C33">
        <v>26</v>
      </c>
    </row>
    <row r="34" spans="1:3" x14ac:dyDescent="0.2">
      <c r="A34">
        <v>95993</v>
      </c>
      <c r="B34">
        <v>783.16</v>
      </c>
      <c r="C34">
        <v>26</v>
      </c>
    </row>
    <row r="35" spans="1:3" x14ac:dyDescent="0.2">
      <c r="A35">
        <v>96130</v>
      </c>
      <c r="B35">
        <v>488.46000000000004</v>
      </c>
      <c r="C35">
        <v>16</v>
      </c>
    </row>
    <row r="36" spans="1:3" x14ac:dyDescent="0.2">
      <c r="A36">
        <v>97002</v>
      </c>
      <c r="B36">
        <v>665.41999999999985</v>
      </c>
      <c r="C36">
        <v>22</v>
      </c>
    </row>
    <row r="37" spans="1:3" x14ac:dyDescent="0.2">
      <c r="A37">
        <v>97524</v>
      </c>
      <c r="B37">
        <v>935.86999999999989</v>
      </c>
      <c r="C37">
        <v>30</v>
      </c>
    </row>
    <row r="38" spans="1:3" x14ac:dyDescent="0.2">
      <c r="A38">
        <v>97862</v>
      </c>
      <c r="B38">
        <v>817.06</v>
      </c>
      <c r="C38">
        <v>26</v>
      </c>
    </row>
    <row r="39" spans="1:3" x14ac:dyDescent="0.2">
      <c r="A39">
        <v>97920</v>
      </c>
      <c r="B39">
        <v>546.56999999999994</v>
      </c>
      <c r="C39">
        <v>16</v>
      </c>
    </row>
    <row r="40" spans="1:3" x14ac:dyDescent="0.2">
      <c r="A40">
        <v>98059</v>
      </c>
      <c r="B40">
        <v>968.45</v>
      </c>
      <c r="C40">
        <v>30</v>
      </c>
    </row>
    <row r="41" spans="1:3" x14ac:dyDescent="0.2">
      <c r="A41">
        <v>98248</v>
      </c>
      <c r="B41">
        <v>752.47</v>
      </c>
      <c r="C41">
        <v>23</v>
      </c>
    </row>
    <row r="42" spans="1:3" x14ac:dyDescent="0.2">
      <c r="A42">
        <v>98812</v>
      </c>
      <c r="B42">
        <v>679.12999999999977</v>
      </c>
      <c r="C42">
        <v>22</v>
      </c>
    </row>
    <row r="43" spans="1:3" x14ac:dyDescent="0.2">
      <c r="A43">
        <v>99223</v>
      </c>
      <c r="B43">
        <v>669.4</v>
      </c>
      <c r="C43">
        <v>21</v>
      </c>
    </row>
    <row r="44" spans="1:3" x14ac:dyDescent="0.2">
      <c r="A44">
        <v>99350</v>
      </c>
      <c r="B44">
        <v>711.80000000000018</v>
      </c>
      <c r="C44">
        <v>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9.1640625" style="2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0.28000000000000003</v>
      </c>
      <c r="C2" s="4">
        <v>4</v>
      </c>
    </row>
    <row r="3" spans="1:3" x14ac:dyDescent="0.2">
      <c r="A3" s="2">
        <v>3</v>
      </c>
      <c r="B3" s="4">
        <v>0.32</v>
      </c>
      <c r="C3" s="4">
        <v>4.3</v>
      </c>
    </row>
    <row r="4" spans="1:3" x14ac:dyDescent="0.2">
      <c r="A4" s="2">
        <v>4</v>
      </c>
      <c r="B4" s="4">
        <v>0.35</v>
      </c>
      <c r="C4" s="4">
        <v>4.6500000000000004</v>
      </c>
    </row>
    <row r="5" spans="1:3" x14ac:dyDescent="0.2">
      <c r="A5" s="2">
        <v>5</v>
      </c>
      <c r="B5" s="4">
        <v>0.4</v>
      </c>
      <c r="C5" s="4">
        <v>5</v>
      </c>
    </row>
    <row r="6" spans="1:3" x14ac:dyDescent="0.2">
      <c r="A6" s="2">
        <v>6</v>
      </c>
      <c r="B6" s="4">
        <v>0.45</v>
      </c>
      <c r="C6" s="4">
        <v>5.45</v>
      </c>
    </row>
    <row r="7" spans="1:3" x14ac:dyDescent="0.2">
      <c r="A7" s="2">
        <v>7</v>
      </c>
      <c r="B7" s="4">
        <v>0.57999999999999996</v>
      </c>
      <c r="C7" s="4">
        <v>6.3</v>
      </c>
    </row>
    <row r="8" spans="1:3" x14ac:dyDescent="0.2">
      <c r="A8" s="2">
        <v>8</v>
      </c>
      <c r="B8" s="4">
        <v>0.7</v>
      </c>
      <c r="C8" s="4">
        <v>7.4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G27" sqref="G27"/>
    </sheetView>
  </sheetViews>
  <sheetFormatPr baseColWidth="10" defaultColWidth="8.83203125" defaultRowHeight="15" x14ac:dyDescent="0.2"/>
  <cols>
    <col min="1" max="1" width="5.33203125" style="2" bestFit="1" customWidth="1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0.33</v>
      </c>
      <c r="C2" s="4">
        <v>4.2</v>
      </c>
    </row>
    <row r="3" spans="1:3" x14ac:dyDescent="0.2">
      <c r="A3" s="2">
        <v>3</v>
      </c>
      <c r="B3" s="4">
        <v>0.37</v>
      </c>
      <c r="C3" s="4">
        <v>4.6500000000000004</v>
      </c>
    </row>
    <row r="4" spans="1:3" x14ac:dyDescent="0.2">
      <c r="A4" s="2">
        <v>4</v>
      </c>
      <c r="B4" s="4">
        <v>0.41</v>
      </c>
      <c r="C4" s="4">
        <v>5</v>
      </c>
    </row>
    <row r="5" spans="1:3" x14ac:dyDescent="0.2">
      <c r="A5" s="2">
        <v>5</v>
      </c>
      <c r="B5" s="4">
        <v>0.46</v>
      </c>
      <c r="C5" s="4">
        <v>5.4</v>
      </c>
    </row>
    <row r="6" spans="1:3" x14ac:dyDescent="0.2">
      <c r="A6" s="2">
        <v>6</v>
      </c>
      <c r="B6" s="4">
        <v>0.5</v>
      </c>
      <c r="C6" s="4">
        <v>5.85</v>
      </c>
    </row>
    <row r="7" spans="1:3" x14ac:dyDescent="0.2">
      <c r="A7" s="2">
        <v>7</v>
      </c>
      <c r="B7" s="4">
        <v>0.54</v>
      </c>
      <c r="C7" s="4">
        <v>6.1</v>
      </c>
    </row>
    <row r="8" spans="1:3" x14ac:dyDescent="0.2">
      <c r="A8" s="2">
        <v>8</v>
      </c>
      <c r="B8" s="4">
        <v>0.59</v>
      </c>
      <c r="C8" s="4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blawnox</vt:lpstr>
      <vt:lpstr>distributor_zones</vt:lpstr>
      <vt:lpstr>locations</vt:lpstr>
      <vt:lpstr>orders</vt:lpstr>
      <vt:lpstr>distributors</vt:lpstr>
      <vt:lpstr>demand</vt:lpstr>
      <vt:lpstr>private_rates</vt:lpstr>
      <vt:lpstr>published_rates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Елизавета Сергеева</cp:lastModifiedBy>
  <dcterms:created xsi:type="dcterms:W3CDTF">2017-04-24T18:33:18Z</dcterms:created>
  <dcterms:modified xsi:type="dcterms:W3CDTF">2026-04-16T14:23:44Z</dcterms:modified>
</cp:coreProperties>
</file>